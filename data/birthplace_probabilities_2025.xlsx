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都道府県_確率計算" sheetId="1" r:id="rId1"/>
    <sheet name="説明と出典" sheetId="2" r:id="rId2"/>
    <sheet name="市区町村_準備" sheetId="3" r:id="rId3"/>
    <sheet name="原表照合_2025" sheetId="4" r:id="rId5"/>
    <sheet name="抽選用_確率順" sheetId="5" r:id="rId6"/>
  </sheets>
  <calcPr calcId="191029" fullCalcOnLoad="1"/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5"/>
      <color rgb="FFFFFFFF"/>
    </font>
    <font>
      <sz val="11"/>
      <color rgb="FF41586D"/>
    </font>
  </fonts>
  <fills count="4">
    <fill>
      <patternFill patternType="none"/>
    </fill>
    <fill>
      <patternFill patternType="gray125"/>
    </fill>
    <fill>
      <patternFill patternType="solid">
        <fgColor rgb="FF173246"/>
        <bgColor indexed="64"/>
      </patternFill>
    </fill>
    <fill>
      <patternFill patternType="solid">
        <fgColor rgb="FF0D6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0" fontId="0" fillId="0" borderId="0" xfId="0" applyNumberFormat="1"/>
    <xf numFmtId="0" fontId="2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dimension ref="A1:G64"/>
  <sheetViews>
    <sheetView workbookViewId="0">
      <pane ySplit="8" topLeftCell="A9" activePane="bottomLeft" state="frozen"/>
    </sheetView>
  </sheetViews>
  <sheetFormatPr defaultRowHeight="18"/>
  <cols>
    <col min="1" max="1" width="9" customWidth="1"/>
    <col min="2" max="2" width="23" customWidth="1"/>
    <col min="3" max="3" width="17" customWidth="1"/>
    <col min="4" max="4" width="17" customWidth="1"/>
    <col min="5" max="5" width="18" customWidth="1"/>
    <col min="6" max="6" width="41" customWidth="1"/>
    <col min="7" max="7" width="40" customWidth="1"/>
  </cols>
  <sheetData>
    <row r="1">
      <c r="A1" s="1" t="inlineStr">
        <is>
          <t xml:space="preserve">出生地ガチャ｜都道府県別 確率計算表</t>
        </is>
      </c>
    </row>
    <row r="2">
      <c r="A2" s="4" t="inlineStr">
        <is>
          <t xml:space="preserve">2025年確定数 · 国内47都道府県 · Excel側で計算してJSには完成値だけ渡す</t>
        </is>
      </c>
    </row>
    <row r="4">
      <c r="A4" t="inlineStr">
        <is>
          <t xml:space="preserve">基準年</t>
        </is>
      </c>
      <c r="B4">
        <v>2025</v>
      </c>
    </row>
    <row r="5">
      <c r="A5" t="inlineStr">
        <is>
          <t xml:space="preserve">元データ</t>
        </is>
      </c>
      <c r="B5" t="inlineStr">
        <is>
          <t xml:space="preserve">現在のゲーム内47都道府県出生数</t>
        </is>
      </c>
    </row>
    <row r="6">
      <c r="A6" t="inlineStr">
        <is>
          <t xml:space="preserve">対象</t>
        </is>
      </c>
      <c r="B6" t="inlineStr">
        <is>
          <t xml:space="preserve">日本国内47都道府県・日本人出生</t>
        </is>
      </c>
    </row>
    <row r="8">
      <c r="A8" s="2" t="inlineStr">
        <is>
          <t xml:space="preserve">番号</t>
        </is>
      </c>
      <c r="B8" s="2" t="inlineStr">
        <is>
          <t xml:space="preserve">都道府県</t>
        </is>
      </c>
      <c r="C8" s="2" t="inlineStr">
        <is>
          <t xml:space="preserve">出生数（人）</t>
        </is>
      </c>
      <c r="D8" s="2" t="inlineStr">
        <is>
          <t xml:space="preserve">抽選確率</t>
        </is>
      </c>
      <c r="E8" s="2" t="inlineStr">
        <is>
          <t xml:space="preserve">累積確率</t>
        </is>
      </c>
      <c r="F8" s="2" t="inlineStr">
        <is>
          <t xml:space="preserve">JS貼付用</t>
        </is>
      </c>
      <c r="G8" s="2" t="inlineStr">
        <is>
          <t xml:space="preserve">出典ID</t>
        </is>
      </c>
    </row>
    <row r="9">
      <c r="A9">
        <v>1</v>
      </c>
      <c r="B9" t="inlineStr">
        <is>
          <t xml:space="preserve">北海道</t>
        </is>
      </c>
      <c r="C9">
        <v>21802</v>
      </c>
      <c r="D9" s="3">
        <f>C9/$C$57</f>
        <v>0.032479460115753325</v>
      </c>
      <c r="E9" s="3">
        <f>SUM($D$9:D9)</f>
        <v>0.032479460115753325</v>
      </c>
      <c r="F9" t="str">
        <f>="['"&amp;B9&amp;"',"&amp;TEXT(E9,"0.000000000000")&amp;"],"</f>
        <v>['北海道',0.032479460116],</v>
      </c>
      <c r="G9" t="inlineStr">
        <is>
          <t xml:space="preserve">厚労省2025確定数・第4表／照合済み</t>
        </is>
      </c>
    </row>
    <row r="10">
      <c r="A10">
        <v>2</v>
      </c>
      <c r="B10" t="inlineStr">
        <is>
          <t xml:space="preserve">青森県</t>
        </is>
      </c>
      <c r="C10">
        <v>4737</v>
      </c>
      <c r="D10" s="3">
        <f>C10/$C$57</f>
        <v>0.007056930674631846</v>
      </c>
      <c r="E10" s="3">
        <f>SUM($D$9:D10)</f>
        <v>0.03953639079038517</v>
      </c>
      <c r="F10" t="str">
        <f>="['"&amp;B10&amp;"',"&amp;TEXT(E10,"0.000000000000")&amp;"],"</f>
        <v>['青森県',0.039536390790],</v>
      </c>
      <c r="G10" t="inlineStr">
        <is>
          <t xml:space="preserve">厚労省2025確定数・第4表／照合済み</t>
        </is>
      </c>
    </row>
    <row r="11">
      <c r="A11">
        <v>3</v>
      </c>
      <c r="B11" t="inlineStr">
        <is>
          <t xml:space="preserve">岩手県</t>
        </is>
      </c>
      <c r="C11">
        <v>4823</v>
      </c>
      <c r="D11" s="3">
        <f>C11/$C$57</f>
        <v>0.007185048900939285</v>
      </c>
      <c r="E11" s="3">
        <f>SUM($D$9:D11)</f>
        <v>0.04672143969132446</v>
      </c>
      <c r="F11" t="str">
        <f>="['"&amp;B11&amp;"',"&amp;TEXT(E11,"0.000000000000")&amp;"],"</f>
        <v>['岩手県',0.046721439691],</v>
      </c>
      <c r="G11" t="inlineStr">
        <is>
          <t xml:space="preserve">厚労省2025確定数・第4表／照合済み</t>
        </is>
      </c>
    </row>
    <row r="12">
      <c r="A12">
        <v>4</v>
      </c>
      <c r="B12" t="inlineStr">
        <is>
          <t xml:space="preserve">宮城県</t>
        </is>
      </c>
      <c r="C12">
        <v>11079</v>
      </c>
      <c r="D12" s="3">
        <f>C12/$C$57</f>
        <v>0.016504904991396712</v>
      </c>
      <c r="E12" s="3">
        <f>SUM($D$9:D12)</f>
        <v>0.06322634468272118</v>
      </c>
      <c r="F12" t="str">
        <f>="['"&amp;B12&amp;"',"&amp;TEXT(E12,"0.000000000000")&amp;"],"</f>
        <v>['宮城県',0.063226344683],</v>
      </c>
      <c r="G12" t="inlineStr">
        <is>
          <t xml:space="preserve">厚労省2025確定数・第4表／照合済み</t>
        </is>
      </c>
    </row>
    <row r="13">
      <c r="A13">
        <v>5</v>
      </c>
      <c r="B13" t="inlineStr">
        <is>
          <t xml:space="preserve">秋田県</t>
        </is>
      </c>
      <c r="C13">
        <v>3148</v>
      </c>
      <c r="D13" s="3">
        <f>C13/$C$57</f>
        <v>0.004689722981579281</v>
      </c>
      <c r="E13" s="3">
        <f>SUM($D$9:D13)</f>
        <v>0.06791606766430046</v>
      </c>
      <c r="F13" t="str">
        <f>="['"&amp;B13&amp;"',"&amp;TEXT(E13,"0.000000000000")&amp;"],"</f>
        <v>['秋田県',0.067916067664],</v>
      </c>
      <c r="G13" t="inlineStr">
        <is>
          <t xml:space="preserve">厚労省2025確定数・第4表／照合済み</t>
        </is>
      </c>
    </row>
    <row r="14">
      <c r="A14">
        <v>6</v>
      </c>
      <c r="B14" t="inlineStr">
        <is>
          <t xml:space="preserve">山形県</t>
        </is>
      </c>
      <c r="C14">
        <v>4380</v>
      </c>
      <c r="D14" s="3">
        <f>C14/$C$57</f>
        <v>0.006525091060774222</v>
      </c>
      <c r="E14" s="3">
        <f>SUM($D$9:D14)</f>
        <v>0.07444115872507467</v>
      </c>
      <c r="F14" t="str">
        <f>="['"&amp;B14&amp;"',"&amp;TEXT(E14,"0.000000000000")&amp;"],"</f>
        <v>['山形県',0.074441158725],</v>
      </c>
      <c r="G14" t="inlineStr">
        <is>
          <t xml:space="preserve">厚労省2025確定数・第4表／照合済み</t>
        </is>
      </c>
    </row>
    <row r="15">
      <c r="A15">
        <v>7</v>
      </c>
      <c r="B15" t="inlineStr">
        <is>
          <t xml:space="preserve">福島県</t>
        </is>
      </c>
      <c r="C15">
        <v>7842</v>
      </c>
      <c r="D15" s="3">
        <f>C15/$C$57</f>
        <v>0.011682594543057407</v>
      </c>
      <c r="E15" s="3">
        <f>SUM($D$9:D15)</f>
        <v>0.08612375326813208</v>
      </c>
      <c r="F15" t="str">
        <f>="['"&amp;B15&amp;"',"&amp;TEXT(E15,"0.000000000000")&amp;"],"</f>
        <v>['福島県',0.086123753268],</v>
      </c>
      <c r="G15" t="inlineStr">
        <is>
          <t xml:space="preserve">厚労省2025確定数・第4表／照合済み</t>
        </is>
      </c>
    </row>
    <row r="16">
      <c r="A16">
        <v>8</v>
      </c>
      <c r="B16" t="inlineStr">
        <is>
          <t xml:space="preserve">茨城県</t>
        </is>
      </c>
      <c r="C16">
        <v>13409</v>
      </c>
      <c r="D16" s="3">
        <f>C16/$C$57</f>
        <v>0.019976015076237794</v>
      </c>
      <c r="E16" s="3">
        <f>SUM($D$9:D16)</f>
        <v>0.10609976834436988</v>
      </c>
      <c r="F16" t="str">
        <f>="['"&amp;B16&amp;"',"&amp;TEXT(E16,"0.000000000000")&amp;"],"</f>
        <v>['茨城県',0.106099768344],</v>
      </c>
      <c r="G16" t="inlineStr">
        <is>
          <t xml:space="preserve">厚労省2025確定数・第4表／照合済み</t>
        </is>
      </c>
    </row>
    <row r="17">
      <c r="A17">
        <v>9</v>
      </c>
      <c r="B17" t="inlineStr">
        <is>
          <t xml:space="preserve">栃木県</t>
        </is>
      </c>
      <c r="C17">
        <v>8932</v>
      </c>
      <c r="D17" s="3">
        <f>C17/$C$57</f>
        <v>0.013306418574163321</v>
      </c>
      <c r="E17" s="3">
        <f>SUM($D$9:D17)</f>
        <v>0.11940618691853319</v>
      </c>
      <c r="F17" t="str">
        <f>="['"&amp;B17&amp;"',"&amp;TEXT(E17,"0.000000000000")&amp;"],"</f>
        <v>['栃木県',0.119406186919],</v>
      </c>
      <c r="G17" t="inlineStr">
        <is>
          <t xml:space="preserve">厚労省2025確定数・第4表／照合済み</t>
        </is>
      </c>
    </row>
    <row r="18">
      <c r="A18">
        <v>10</v>
      </c>
      <c r="B18" t="inlineStr">
        <is>
          <t xml:space="preserve">群馬県</t>
        </is>
      </c>
      <c r="C18">
        <v>8950</v>
      </c>
      <c r="D18" s="3">
        <f>C18/$C$57</f>
        <v>0.013333234016878831</v>
      </c>
      <c r="E18" s="3">
        <f>SUM($D$9:D18)</f>
        <v>0.13273942093541202</v>
      </c>
      <c r="F18" t="str">
        <f>="['"&amp;B18&amp;"',"&amp;TEXT(E18,"0.000000000000")&amp;"],"</f>
        <v>['群馬県',0.132739420935],</v>
      </c>
      <c r="G18" t="inlineStr">
        <is>
          <t xml:space="preserve">厚労省2025確定数・第4表／照合済み</t>
        </is>
      </c>
    </row>
    <row r="19">
      <c r="A19">
        <v>11</v>
      </c>
      <c r="B19" t="inlineStr">
        <is>
          <t xml:space="preserve">埼玉県</t>
        </is>
      </c>
      <c r="C19">
        <v>38812</v>
      </c>
      <c r="D19" s="3">
        <f>C19/$C$57</f>
        <v>0.05782005348191075</v>
      </c>
      <c r="E19" s="3">
        <f>SUM($D$9:D19)</f>
        <v>0.19055947441732277</v>
      </c>
      <c r="F19" t="str">
        <f>="['"&amp;B19&amp;"',"&amp;TEXT(E19,"0.000000000000")&amp;"],"</f>
        <v>['埼玉県',0.190559474417],</v>
      </c>
      <c r="G19" t="inlineStr">
        <is>
          <t xml:space="preserve">厚労省2025確定数・第4表／照合済み</t>
        </is>
      </c>
    </row>
    <row r="20">
      <c r="A20">
        <v>12</v>
      </c>
      <c r="B20" t="inlineStr">
        <is>
          <t xml:space="preserve">千葉県</t>
        </is>
      </c>
      <c r="C20">
        <v>32988</v>
      </c>
      <c r="D20" s="3">
        <f>C20/$C$57</f>
        <v>0.04914376801662557</v>
      </c>
      <c r="E20" s="3">
        <f>SUM($D$9:D20)</f>
        <v>0.23970324243394833</v>
      </c>
      <c r="F20" t="str">
        <f>="['"&amp;B20&amp;"',"&amp;TEXT(E20,"0.000000000000")&amp;"],"</f>
        <v>['千葉県',0.239703242434],</v>
      </c>
      <c r="G20" t="inlineStr">
        <is>
          <t xml:space="preserve">厚労省2025確定数・第4表／照合済み</t>
        </is>
      </c>
    </row>
    <row r="21">
      <c r="A21">
        <v>13</v>
      </c>
      <c r="B21" t="inlineStr">
        <is>
          <t xml:space="preserve">東京都</t>
        </is>
      </c>
      <c r="C21">
        <v>85090</v>
      </c>
      <c r="D21" s="3">
        <f>C21/$C$57</f>
        <v>0.12676255670348824</v>
      </c>
      <c r="E21" s="3">
        <f>SUM($D$9:D21)</f>
        <v>0.3664657991374366</v>
      </c>
      <c r="F21" t="str">
        <f>="['"&amp;B21&amp;"',"&amp;TEXT(E21,"0.000000000000")&amp;"],"</f>
        <v>['東京都',0.366465799137],</v>
      </c>
      <c r="G21" t="inlineStr">
        <is>
          <t xml:space="preserve">厚労省2025確定数・第4表／照合済み</t>
        </is>
      </c>
    </row>
    <row r="22">
      <c r="A22">
        <v>14</v>
      </c>
      <c r="B22" t="inlineStr">
        <is>
          <t xml:space="preserve">神奈川県</t>
        </is>
      </c>
      <c r="C22">
        <v>50209</v>
      </c>
      <c r="D22" s="3">
        <f>C22/$C$57</f>
        <v>0.07479869796128148</v>
      </c>
      <c r="E22" s="3">
        <f>SUM($D$9:D22)</f>
        <v>0.44126449709871807</v>
      </c>
      <c r="F22" t="str">
        <f>="['"&amp;B22&amp;"',"&amp;TEXT(E22,"0.000000000000")&amp;"],"</f>
        <v>['神奈川県',0.441264497099],</v>
      </c>
      <c r="G22" t="inlineStr">
        <is>
          <t xml:space="preserve">厚労省2025確定数・第4表／照合済み</t>
        </is>
      </c>
    </row>
    <row r="23">
      <c r="A23">
        <v>15</v>
      </c>
      <c r="B23" t="inlineStr">
        <is>
          <t xml:space="preserve">新潟県</t>
        </is>
      </c>
      <c r="C23">
        <v>9580</v>
      </c>
      <c r="D23" s="3">
        <f>C23/$C$57</f>
        <v>0.014271774511921699</v>
      </c>
      <c r="E23" s="3">
        <f>SUM($D$9:D23)</f>
        <v>0.45553627161063975</v>
      </c>
      <c r="F23" t="str">
        <f>="['"&amp;B23&amp;"',"&amp;TEXT(E23,"0.000000000000")&amp;"],"</f>
        <v>['新潟県',0.455536271611],</v>
      </c>
      <c r="G23" t="inlineStr">
        <is>
          <t xml:space="preserve">厚労省2025確定数・第4表／照合済み</t>
        </is>
      </c>
    </row>
    <row r="24">
      <c r="A24">
        <v>16</v>
      </c>
      <c r="B24" t="inlineStr">
        <is>
          <t xml:space="preserve">富山県</t>
        </is>
      </c>
      <c r="C24">
        <v>5125</v>
      </c>
      <c r="D24" s="3">
        <f>C24/$C$57</f>
        <v>0.00763495243983285</v>
      </c>
      <c r="E24" s="3">
        <f>SUM($D$9:D24)</f>
        <v>0.4631712240504726</v>
      </c>
      <c r="F24" t="str">
        <f>="['"&amp;B24&amp;"',"&amp;TEXT(E24,"0.000000000000")&amp;"],"</f>
        <v>['富山県',0.463171224050],</v>
      </c>
      <c r="G24" t="inlineStr">
        <is>
          <t xml:space="preserve">厚労省2025確定数・第4表／照合済み</t>
        </is>
      </c>
    </row>
    <row r="25">
      <c r="A25">
        <v>17</v>
      </c>
      <c r="B25" t="inlineStr">
        <is>
          <t xml:space="preserve">石川県</t>
        </is>
      </c>
      <c r="C25">
        <v>6242</v>
      </c>
      <c r="D25" s="3">
        <f>C25/$C$57</f>
        <v>0.00929899963501203</v>
      </c>
      <c r="E25" s="3">
        <f>SUM($D$9:D25)</f>
        <v>0.47247022368548464</v>
      </c>
      <c r="F25" t="str">
        <f>="['"&amp;B25&amp;"',"&amp;TEXT(E25,"0.000000000000")&amp;"],"</f>
        <v>['石川県',0.472470223685],</v>
      </c>
      <c r="G25" t="inlineStr">
        <is>
          <t xml:space="preserve">厚労省2025確定数・第4表／照合済み</t>
        </is>
      </c>
    </row>
    <row r="26">
      <c r="A26">
        <v>18</v>
      </c>
      <c r="B26" t="inlineStr">
        <is>
          <t xml:space="preserve">福井県</t>
        </is>
      </c>
      <c r="C26">
        <v>4314</v>
      </c>
      <c r="D26" s="3">
        <f>C26/$C$57</f>
        <v>0.00642676777081735</v>
      </c>
      <c r="E26" s="3">
        <f>SUM($D$9:D26)</f>
        <v>0.478896991456302</v>
      </c>
      <c r="F26" t="str">
        <f>="['"&amp;B26&amp;"',"&amp;TEXT(E26,"0.000000000000")&amp;"],"</f>
        <v>['福井県',0.478896991456],</v>
      </c>
      <c r="G26" t="inlineStr">
        <is>
          <t xml:space="preserve">厚労省2025確定数・第4表／照合済み</t>
        </is>
      </c>
    </row>
    <row r="27">
      <c r="A27">
        <v>19</v>
      </c>
      <c r="B27" t="inlineStr">
        <is>
          <t xml:space="preserve">山梨県</t>
        </is>
      </c>
      <c r="C27">
        <v>4016</v>
      </c>
      <c r="D27" s="3">
        <f>C27/$C$57</f>
        <v>0.005982823219193898</v>
      </c>
      <c r="E27" s="3">
        <f>SUM($D$9:D27)</f>
        <v>0.4848798146754959</v>
      </c>
      <c r="F27" t="str">
        <f>="['"&amp;B27&amp;"',"&amp;TEXT(E27,"0.000000000000")&amp;"],"</f>
        <v>['山梨県',0.484879814675],</v>
      </c>
      <c r="G27" t="inlineStr">
        <is>
          <t xml:space="preserve">厚労省2025確定数・第4表／照合済み</t>
        </is>
      </c>
    </row>
    <row r="28">
      <c r="A28">
        <v>20</v>
      </c>
      <c r="B28" t="inlineStr">
        <is>
          <t xml:space="preserve">長野県</t>
        </is>
      </c>
      <c r="C28">
        <v>9875</v>
      </c>
      <c r="D28" s="3">
        <f>C28/$C$57</f>
        <v>0.014711249823092565</v>
      </c>
      <c r="E28" s="3">
        <f>SUM($D$9:D28)</f>
        <v>0.4995910644985885</v>
      </c>
      <c r="F28" t="str">
        <f>="['"&amp;B28&amp;"',"&amp;TEXT(E28,"0.000000000000")&amp;"],"</f>
        <v>['長野県',0.499591064499],</v>
      </c>
      <c r="G28" t="inlineStr">
        <is>
          <t xml:space="preserve">厚労省2025確定数・第4表／照合済み</t>
        </is>
      </c>
    </row>
    <row r="29">
      <c r="A29">
        <v>21</v>
      </c>
      <c r="B29" t="inlineStr">
        <is>
          <t xml:space="preserve">岐阜県</t>
        </is>
      </c>
      <c r="C29">
        <v>9351</v>
      </c>
      <c r="D29" s="3">
        <f>C29/$C$57</f>
        <v>0.013930622490707704</v>
      </c>
      <c r="E29" s="3">
        <f>SUM($D$9:D29)</f>
        <v>0.5135216869892962</v>
      </c>
      <c r="F29" t="str">
        <f>="['"&amp;B29&amp;"',"&amp;TEXT(E29,"0.000000000000")&amp;"],"</f>
        <v>['岐阜県',0.513521686989],</v>
      </c>
      <c r="G29" t="inlineStr">
        <is>
          <t xml:space="preserve">厚労省2025確定数・第4表／照合済み</t>
        </is>
      </c>
    </row>
    <row r="30">
      <c r="A30">
        <v>22</v>
      </c>
      <c r="B30" t="inlineStr">
        <is>
          <t xml:space="preserve">静岡県</t>
        </is>
      </c>
      <c r="C30">
        <v>17092</v>
      </c>
      <c r="D30" s="3">
        <f>C30/$C$57</f>
        <v>0.025462752605194747</v>
      </c>
      <c r="E30" s="3">
        <f>SUM($D$9:D30)</f>
        <v>0.5389844395944909</v>
      </c>
      <c r="F30" t="str">
        <f>="['"&amp;B30&amp;"',"&amp;TEXT(E30,"0.000000000000")&amp;"],"</f>
        <v>['静岡県',0.538984439594],</v>
      </c>
      <c r="G30" t="inlineStr">
        <is>
          <t xml:space="preserve">厚労省2025確定数・第4表／照合済み</t>
        </is>
      </c>
    </row>
    <row r="31">
      <c r="A31">
        <v>23</v>
      </c>
      <c r="B31" t="inlineStr">
        <is>
          <t xml:space="preserve">愛知県</t>
        </is>
      </c>
      <c r="C31">
        <v>44290</v>
      </c>
      <c r="D31" s="3">
        <f>C31/$C$57</f>
        <v>0.0659808865483311</v>
      </c>
      <c r="E31" s="3">
        <f>SUM($D$9:D31)</f>
        <v>0.6049653261428221</v>
      </c>
      <c r="F31" t="str">
        <f>="['"&amp;B31&amp;"',"&amp;TEXT(E31,"0.000000000000")&amp;"],"</f>
        <v>['愛知県',0.604965326143],</v>
      </c>
      <c r="G31" t="inlineStr">
        <is>
          <t xml:space="preserve">厚労省2025確定数・第4表／照合済み</t>
        </is>
      </c>
    </row>
    <row r="32">
      <c r="A32">
        <v>24</v>
      </c>
      <c r="B32" t="inlineStr">
        <is>
          <t xml:space="preserve">三重県</t>
        </is>
      </c>
      <c r="C32">
        <v>8792</v>
      </c>
      <c r="D32" s="3">
        <f>C32/$C$57</f>
        <v>0.013097854019709351</v>
      </c>
      <c r="E32" s="3">
        <f>SUM($D$9:D32)</f>
        <v>0.6180631801625314</v>
      </c>
      <c r="F32" t="str">
        <f>="['"&amp;B32&amp;"',"&amp;TEXT(E32,"0.000000000000")&amp;"],"</f>
        <v>['三重県',0.618063180163],</v>
      </c>
      <c r="G32" t="inlineStr">
        <is>
          <t xml:space="preserve">厚労省2025確定数・第4表／照合済み</t>
        </is>
      </c>
    </row>
    <row r="33">
      <c r="A33">
        <v>25</v>
      </c>
      <c r="B33" t="inlineStr">
        <is>
          <t xml:space="preserve">滋賀県</t>
        </is>
      </c>
      <c r="C33">
        <v>8708</v>
      </c>
      <c r="D33" s="3">
        <f>C33/$C$57</f>
        <v>0.012972715287036968</v>
      </c>
      <c r="E33" s="3">
        <f>SUM($D$9:D33)</f>
        <v>0.6310358954495683</v>
      </c>
      <c r="F33" t="str">
        <f>="['"&amp;B33&amp;"',"&amp;TEXT(E33,"0.000000000000")&amp;"],"</f>
        <v>['滋賀県',0.631035895450],</v>
      </c>
      <c r="G33" t="inlineStr">
        <is>
          <t xml:space="preserve">厚労省2025確定数・第4表／照合済み</t>
        </is>
      </c>
    </row>
    <row r="34">
      <c r="A34">
        <v>26</v>
      </c>
      <c r="B34" t="inlineStr">
        <is>
          <t xml:space="preserve">京都府</t>
        </is>
      </c>
      <c r="C34">
        <v>12677</v>
      </c>
      <c r="D34" s="3">
        <f>C34/$C$57</f>
        <v>0.018885520405807033</v>
      </c>
      <c r="E34" s="3">
        <f>SUM($D$9:D34)</f>
        <v>0.6499214158553753</v>
      </c>
      <c r="F34" t="str">
        <f>="['"&amp;B34&amp;"',"&amp;TEXT(E34,"0.000000000000")&amp;"],"</f>
        <v>['京都府',0.649921415855],</v>
      </c>
      <c r="G34" t="inlineStr">
        <is>
          <t xml:space="preserve">厚労省2025確定数・第4表／照合済み</t>
        </is>
      </c>
    </row>
    <row r="35">
      <c r="A35">
        <v>27</v>
      </c>
      <c r="B35" t="inlineStr">
        <is>
          <t xml:space="preserve">大阪府</t>
        </is>
      </c>
      <c r="C35">
        <v>52598</v>
      </c>
      <c r="D35" s="3">
        <f>C35/$C$57</f>
        <v>0.07835770310835674</v>
      </c>
      <c r="E35" s="3">
        <f>SUM($D$9:D35)</f>
        <v>0.7282791189637321</v>
      </c>
      <c r="F35" t="str">
        <f>="['"&amp;B35&amp;"',"&amp;TEXT(E35,"0.000000000000")&amp;"],"</f>
        <v>['大阪府',0.728279118964],</v>
      </c>
      <c r="G35" t="inlineStr">
        <is>
          <t xml:space="preserve">厚労省2025確定数・第4表／照合済み</t>
        </is>
      </c>
    </row>
    <row r="36">
      <c r="A36">
        <v>28</v>
      </c>
      <c r="B36" t="inlineStr">
        <is>
          <t xml:space="preserve">兵庫県</t>
        </is>
      </c>
      <c r="C36">
        <v>30110</v>
      </c>
      <c r="D36" s="3">
        <f>C36/$C$57</f>
        <v>0.044856276675778954</v>
      </c>
      <c r="E36" s="3">
        <f>SUM($D$9:D36)</f>
        <v>0.7731353956395111</v>
      </c>
      <c r="F36" t="str">
        <f>="['"&amp;B36&amp;"',"&amp;TEXT(E36,"0.000000000000")&amp;"],"</f>
        <v>['兵庫県',0.773135395640],</v>
      </c>
      <c r="G36" t="inlineStr">
        <is>
          <t xml:space="preserve">厚労省2025確定数・第4表／照合済み</t>
        </is>
      </c>
    </row>
    <row r="37">
      <c r="A37">
        <v>29</v>
      </c>
      <c r="B37" t="inlineStr">
        <is>
          <t xml:space="preserve">奈良県</t>
        </is>
      </c>
      <c r="C37">
        <v>6409</v>
      </c>
      <c r="D37" s="3">
        <f>C37/$C$57</f>
        <v>0.009547787353539266</v>
      </c>
      <c r="E37" s="3">
        <f>SUM($D$9:D37)</f>
        <v>0.7826831829930503</v>
      </c>
      <c r="F37" t="str">
        <f>="['"&amp;B37&amp;"',"&amp;TEXT(E37,"0.000000000000")&amp;"],"</f>
        <v>['奈良県',0.782683182993],</v>
      </c>
      <c r="G37" t="inlineStr">
        <is>
          <t xml:space="preserve">厚労省2025確定数・第4表／照合済み</t>
        </is>
      </c>
    </row>
    <row r="38">
      <c r="A38">
        <v>30</v>
      </c>
      <c r="B38" t="inlineStr">
        <is>
          <t xml:space="preserve">和歌山県</t>
        </is>
      </c>
      <c r="C38">
        <v>4246</v>
      </c>
      <c r="D38" s="3">
        <f>C38/$C$57</f>
        <v>0.0063254649872254215</v>
      </c>
      <c r="E38" s="3">
        <f>SUM($D$9:D38)</f>
        <v>0.7890086479802757</v>
      </c>
      <c r="F38" t="str">
        <f>="['"&amp;B38&amp;"',"&amp;TEXT(E38,"0.000000000000")&amp;"],"</f>
        <v>['和歌山県',0.789008647980],</v>
      </c>
      <c r="G38" t="inlineStr">
        <is>
          <t xml:space="preserve">厚労省2025確定数・第4表／照合済み</t>
        </is>
      </c>
    </row>
    <row r="39">
      <c r="A39">
        <v>31</v>
      </c>
      <c r="B39" t="inlineStr">
        <is>
          <t xml:space="preserve">鳥取県</t>
        </is>
      </c>
      <c r="C39">
        <v>2973</v>
      </c>
      <c r="D39" s="3">
        <f>C39/$C$57</f>
        <v>0.004429017288511817</v>
      </c>
      <c r="E39" s="3">
        <f>SUM($D$9:D39)</f>
        <v>0.7934376652687876</v>
      </c>
      <c r="F39" t="str">
        <f>="['"&amp;B39&amp;"',"&amp;TEXT(E39,"0.000000000000")&amp;"],"</f>
        <v>['鳥取県',0.793437665269],</v>
      </c>
      <c r="G39" t="inlineStr">
        <is>
          <t xml:space="preserve">厚労省2025確定数・第4表／照合済み</t>
        </is>
      </c>
    </row>
    <row r="40">
      <c r="A40">
        <v>32</v>
      </c>
      <c r="B40" t="inlineStr">
        <is>
          <t xml:space="preserve">島根県</t>
        </is>
      </c>
      <c r="C40">
        <v>3339</v>
      </c>
      <c r="D40" s="3">
        <f>C40/$C$57</f>
        <v>0.0049742646237271974</v>
      </c>
      <c r="E40" s="3">
        <f>SUM($D$9:D40)</f>
        <v>0.7984119298925147</v>
      </c>
      <c r="F40" t="str">
        <f>="['"&amp;B40&amp;"',"&amp;TEXT(E40,"0.000000000000")&amp;"],"</f>
        <v>['島根県',0.798411929893],</v>
      </c>
      <c r="G40" t="inlineStr">
        <is>
          <t xml:space="preserve">厚労省2025確定数・第4表／照合済み</t>
        </is>
      </c>
    </row>
    <row r="41">
      <c r="A41">
        <v>33</v>
      </c>
      <c r="B41" t="inlineStr">
        <is>
          <t xml:space="preserve">岡山県</t>
        </is>
      </c>
      <c r="C41">
        <v>10426</v>
      </c>
      <c r="D41" s="3">
        <f>C41/$C$57</f>
        <v>0.015532100319550692</v>
      </c>
      <c r="E41" s="3">
        <f>SUM($D$9:D41)</f>
        <v>0.8139440302120654</v>
      </c>
      <c r="F41" t="str">
        <f>="['"&amp;B41&amp;"',"&amp;TEXT(E41,"0.000000000000")&amp;"],"</f>
        <v>['岡山県',0.813944030212],</v>
      </c>
      <c r="G41" t="inlineStr">
        <is>
          <t xml:space="preserve">厚労省2025確定数・第4表／照合済み</t>
        </is>
      </c>
    </row>
    <row r="42">
      <c r="A42">
        <v>34</v>
      </c>
      <c r="B42" t="inlineStr">
        <is>
          <t xml:space="preserve">広島県</t>
        </is>
      </c>
      <c r="C42">
        <v>15238</v>
      </c>
      <c r="D42" s="3">
        <f>C42/$C$57</f>
        <v>0.022700762005497165</v>
      </c>
      <c r="E42" s="3">
        <f>SUM($D$9:D42)</f>
        <v>0.8366447922175626</v>
      </c>
      <c r="F42" t="str">
        <f>="['"&amp;B42&amp;"',"&amp;TEXT(E42,"0.000000000000")&amp;"],"</f>
        <v>['広島県',0.836644792218],</v>
      </c>
      <c r="G42" t="inlineStr">
        <is>
          <t xml:space="preserve">厚労省2025確定数・第4表／照合済み</t>
        </is>
      </c>
    </row>
    <row r="43">
      <c r="A43">
        <v>35</v>
      </c>
      <c r="B43" t="inlineStr">
        <is>
          <t xml:space="preserve">山口県</t>
        </is>
      </c>
      <c r="C43">
        <v>6401</v>
      </c>
      <c r="D43" s="3">
        <f>C43/$C$57</f>
        <v>0.00953586937899904</v>
      </c>
      <c r="E43" s="3">
        <f>SUM($D$9:D43)</f>
        <v>0.8461806615965617</v>
      </c>
      <c r="F43" t="str">
        <f>="['"&amp;B43&amp;"',"&amp;TEXT(E43,"0.000000000000")&amp;"],"</f>
        <v>['山口県',0.846180661597],</v>
      </c>
      <c r="G43" t="inlineStr">
        <is>
          <t xml:space="preserve">厚労省2025確定数・第4表／照合済み</t>
        </is>
      </c>
    </row>
    <row r="44">
      <c r="A44">
        <v>36</v>
      </c>
      <c r="B44" t="inlineStr">
        <is>
          <t xml:space="preserve">徳島県</t>
        </is>
      </c>
      <c r="C44">
        <v>3527</v>
      </c>
      <c r="D44" s="3">
        <f>C44/$C$57</f>
        <v>0.005254337025422529</v>
      </c>
      <c r="E44" s="3">
        <f>SUM($D$9:D44)</f>
        <v>0.8514349986219842</v>
      </c>
      <c r="F44" t="str">
        <f>="['"&amp;B44&amp;"',"&amp;TEXT(E44,"0.000000000000")&amp;"],"</f>
        <v>['徳島県',0.851434998622],</v>
      </c>
      <c r="G44" t="inlineStr">
        <is>
          <t xml:space="preserve">厚労省2025確定数・第4表／照合済み</t>
        </is>
      </c>
    </row>
    <row r="45">
      <c r="A45">
        <v>37</v>
      </c>
      <c r="B45" t="inlineStr">
        <is>
          <t xml:space="preserve">香川県</t>
        </is>
      </c>
      <c r="C45">
        <v>5103</v>
      </c>
      <c r="D45" s="3">
        <f>C45/$C$57</f>
        <v>0.007602178009847227</v>
      </c>
      <c r="E45" s="3">
        <f>SUM($D$9:D45)</f>
        <v>0.8590371766318314</v>
      </c>
      <c r="F45" t="str">
        <f>="['"&amp;B45&amp;"',"&amp;TEXT(E45,"0.000000000000")&amp;"],"</f>
        <v>['香川県',0.859037176632],</v>
      </c>
      <c r="G45" t="inlineStr">
        <is>
          <t xml:space="preserve">厚労省2025確定数・第4表／照合済み</t>
        </is>
      </c>
    </row>
    <row r="46">
      <c r="A46">
        <v>38</v>
      </c>
      <c r="B46" t="inlineStr">
        <is>
          <t xml:space="preserve">愛媛県</t>
        </is>
      </c>
      <c r="C46">
        <v>6422</v>
      </c>
      <c r="D46" s="3">
        <f>C46/$C$57</f>
        <v>0.009567154062167134</v>
      </c>
      <c r="E46" s="3">
        <f>SUM($D$9:D46)</f>
        <v>0.8686043306939986</v>
      </c>
      <c r="F46" t="str">
        <f>="['"&amp;B46&amp;"',"&amp;TEXT(E46,"0.000000000000")&amp;"],"</f>
        <v>['愛媛県',0.868604330694],</v>
      </c>
      <c r="G46" t="inlineStr">
        <is>
          <t xml:space="preserve">厚労省2025確定数・第4表／照合済み</t>
        </is>
      </c>
    </row>
    <row r="47">
      <c r="A47">
        <v>39</v>
      </c>
      <c r="B47" t="inlineStr">
        <is>
          <t xml:space="preserve">高知県</t>
        </is>
      </c>
      <c r="C47">
        <v>3079</v>
      </c>
      <c r="D47" s="3">
        <f>C47/$C$57</f>
        <v>0.004586930451169824</v>
      </c>
      <c r="E47" s="3">
        <f>SUM($D$9:D47)</f>
        <v>0.8731912611451684</v>
      </c>
      <c r="F47" t="str">
        <f>="['"&amp;B47&amp;"',"&amp;TEXT(E47,"0.000000000000")&amp;"],"</f>
        <v>['高知県',0.873191261145],</v>
      </c>
      <c r="G47" t="inlineStr">
        <is>
          <t xml:space="preserve">厚労省2025確定数・第4表／照合済み</t>
        </is>
      </c>
    </row>
    <row r="48">
      <c r="A48">
        <v>40</v>
      </c>
      <c r="B48" t="inlineStr">
        <is>
          <t xml:space="preserve">福岡県</t>
        </is>
      </c>
      <c r="C48">
        <v>31710</v>
      </c>
      <c r="D48" s="3">
        <f>C48/$C$57</f>
        <v>0.04723987158382433</v>
      </c>
      <c r="E48" s="3">
        <f>SUM($D$9:D48)</f>
        <v>0.9204311327289928</v>
      </c>
      <c r="F48" t="str">
        <f>="['"&amp;B48&amp;"',"&amp;TEXT(E48,"0.000000000000")&amp;"],"</f>
        <v>['福岡県',0.920431132729],</v>
      </c>
      <c r="G48" t="inlineStr">
        <is>
          <t xml:space="preserve">厚労省2025確定数・第4表／照合済み</t>
        </is>
      </c>
    </row>
    <row r="49">
      <c r="A49">
        <v>41</v>
      </c>
      <c r="B49" t="inlineStr">
        <is>
          <t xml:space="preserve">佐賀県</t>
        </is>
      </c>
      <c r="C49">
        <v>4611</v>
      </c>
      <c r="D49" s="3">
        <f>C49/$C$57</f>
        <v>0.0068692225756232725</v>
      </c>
      <c r="E49" s="3">
        <f>SUM($D$9:D49)</f>
        <v>0.9273003553046161</v>
      </c>
      <c r="F49" t="str">
        <f>="['"&amp;B49&amp;"',"&amp;TEXT(E49,"0.000000000000")&amp;"],"</f>
        <v>['佐賀県',0.927300355305],</v>
      </c>
      <c r="G49" t="inlineStr">
        <is>
          <t xml:space="preserve">厚労省2025確定数・第4表／照合済み</t>
        </is>
      </c>
    </row>
    <row r="50">
      <c r="A50">
        <v>42</v>
      </c>
      <c r="B50" t="inlineStr">
        <is>
          <t xml:space="preserve">長崎県</t>
        </is>
      </c>
      <c r="C50">
        <v>6846</v>
      </c>
      <c r="D50" s="3">
        <f>C50/$C$57</f>
        <v>0.01019880671279916</v>
      </c>
      <c r="E50" s="3">
        <f>SUM($D$9:D50)</f>
        <v>0.9374991620174152</v>
      </c>
      <c r="F50" t="str">
        <f>="['"&amp;B50&amp;"',"&amp;TEXT(E50,"0.000000000000")&amp;"],"</f>
        <v>['長崎県',0.937499162017],</v>
      </c>
      <c r="G50" t="inlineStr">
        <is>
          <t xml:space="preserve">厚労省2025確定数・第4表／照合済み</t>
        </is>
      </c>
    </row>
    <row r="51">
      <c r="A51">
        <v>43</v>
      </c>
      <c r="B51" t="inlineStr">
        <is>
          <t xml:space="preserve">熊本県</t>
        </is>
      </c>
      <c r="C51">
        <v>10193</v>
      </c>
      <c r="D51" s="3">
        <f>C51/$C$57</f>
        <v>0.015184989311066583</v>
      </c>
      <c r="E51" s="3">
        <f>SUM($D$9:D51)</f>
        <v>0.9526841513284818</v>
      </c>
      <c r="F51" t="str">
        <f>="['"&amp;B51&amp;"',"&amp;TEXT(E51,"0.000000000000")&amp;"],"</f>
        <v>['熊本県',0.952684151328],</v>
      </c>
      <c r="G51" t="inlineStr">
        <is>
          <t xml:space="preserve">厚労省2025確定数・第4表／照合済み</t>
        </is>
      </c>
    </row>
    <row r="52">
      <c r="A52">
        <v>44</v>
      </c>
      <c r="B52" t="inlineStr">
        <is>
          <t xml:space="preserve">大分県</t>
        </is>
      </c>
      <c r="C52">
        <v>5666</v>
      </c>
      <c r="D52" s="3">
        <f>C52/$C$57</f>
        <v>0.008440905468115694</v>
      </c>
      <c r="E52" s="3">
        <f>SUM($D$9:D52)</f>
        <v>0.9611250567965975</v>
      </c>
      <c r="F52" t="str">
        <f>="['"&amp;B52&amp;"',"&amp;TEXT(E52,"0.000000000000")&amp;"],"</f>
        <v>['大分県',0.961125056797],</v>
      </c>
      <c r="G52" t="inlineStr">
        <is>
          <t xml:space="preserve">厚労省2025確定数・第4表／照合済み</t>
        </is>
      </c>
    </row>
    <row r="53">
      <c r="A53">
        <v>45</v>
      </c>
      <c r="B53" t="inlineStr">
        <is>
          <t xml:space="preserve">宮崎県</t>
        </is>
      </c>
      <c r="C53">
        <v>5923</v>
      </c>
      <c r="D53" s="3">
        <f>C53/$C$57</f>
        <v>0.008823770400220483</v>
      </c>
      <c r="E53" s="3">
        <f>SUM($D$9:D53)</f>
        <v>0.9699488271968181</v>
      </c>
      <c r="F53" t="str">
        <f>="['"&amp;B53&amp;"',"&amp;TEXT(E53,"0.000000000000")&amp;"],"</f>
        <v>['宮崎県',0.969948827197],</v>
      </c>
      <c r="G53" t="inlineStr">
        <is>
          <t xml:space="preserve">厚労省2025確定数・第4表／照合済み</t>
        </is>
      </c>
    </row>
    <row r="54">
      <c r="A54">
        <v>46</v>
      </c>
      <c r="B54" t="inlineStr">
        <is>
          <t xml:space="preserve">鹿児島県</t>
        </is>
      </c>
      <c r="C54">
        <v>8661</v>
      </c>
      <c r="D54" s="3">
        <f>C54/$C$57</f>
        <v>0.012902697186613136</v>
      </c>
      <c r="E54" s="3">
        <f>SUM($D$9:D54)</f>
        <v>0.9828515243834313</v>
      </c>
      <c r="F54" t="str">
        <f>="['"&amp;B54&amp;"',"&amp;TEXT(E54,"0.000000000000")&amp;"],"</f>
        <v>['鹿児島県',0.982851524383],</v>
      </c>
      <c r="G54" t="inlineStr">
        <is>
          <t xml:space="preserve">厚労省2025確定数・第4表／照合済み</t>
        </is>
      </c>
    </row>
    <row r="55">
      <c r="A55">
        <v>47</v>
      </c>
      <c r="B55" t="inlineStr">
        <is>
          <t xml:space="preserve">沖縄県</t>
        </is>
      </c>
      <c r="C55">
        <v>11511</v>
      </c>
      <c r="D55" s="3">
        <f>C55/$C$57</f>
        <v>0.017148475616568962</v>
      </c>
      <c r="E55" s="3">
        <f>SUM($D$9:D55)</f>
        <v>1</v>
      </c>
      <c r="F55" t="str">
        <f>="['"&amp;B55&amp;"',"&amp;TEXT(E55,"0.000000000000")&amp;"],"</f>
        <v>['沖縄県',1.000000000000],</v>
      </c>
      <c r="G55" t="inlineStr">
        <is>
          <t xml:space="preserve">厚労省2025確定数・第4表／照合済み</t>
        </is>
      </c>
    </row>
    <row r="57">
      <c r="B57" s="2" t="inlineStr">
        <is>
          <t xml:space="preserve">国内47都道府県 合計</t>
        </is>
      </c>
      <c r="C57">
        <f>SUM(C9:C55)</f>
        <v>671255</v>
      </c>
      <c r="D57" s="3">
        <f>SUM(D9:D55)</f>
        <v>1</v>
      </c>
      <c r="E57" s="3">
        <f>E55</f>
        <v>1</v>
      </c>
    </row>
    <row r="58">
      <c r="B58" t="inlineStr">
        <is>
          <t xml:space="preserve">2025年全国確定出生数</t>
        </is>
      </c>
      <c r="C58">
        <v>671270</v>
      </c>
    </row>
    <row r="59">
      <c r="B59" t="inlineStr">
        <is>
          <t xml:space="preserve">住所地が外国の分</t>
        </is>
      </c>
      <c r="C59">
        <f>C58-C57</f>
        <v>15</v>
      </c>
    </row>
    <row r="62">
      <c r="A62" s="4" t="inlineStr">
        <is>
          <t xml:space="preserve">F列の完成済み累積値をJavaScriptに貼り付ける。ブラウザ側で出生数合計・確率を再計算しない。</t>
        </is>
      </c>
    </row>
    <row r="63">
      <c r="A63" s="4" t="inlineStr">
        <is>
          <t xml:space="preserve">2026-10-28検証：厚労省2025年人口動態統計（確定数）第4表と47都道府県すべて一致（差異0）。</t>
        </is>
      </c>
    </row>
    <row r="64">
      <c r="A64" s="4" t="inlineStr">
        <is>
          <t xml:space="preserve">注意：人口動態統計は国内の日本人出生。外国籍住民を含む抽選には別の統計が必要。</t>
        </is>
      </c>
    </row>
  </sheetData>
</worksheet>
</file>

<file path=xl/worksheets/sheet2.xml><?xml version="1.0" encoding="utf-8"?>
<worksheet xmlns="http://schemas.openxmlformats.org/spreadsheetml/2006/main">
  <sheetFormatPr defaultRowHeight="25"/>
  <cols>
    <col min="1" max="1" width="27" customWidth="1"/>
    <col min="2" max="2" width="83" customWidth="1"/>
    <col min="3" max="3" width="85" customWidth="1"/>
  </cols>
  <sheetData>
    <row r="1">
      <c r="A1" s="1" t="inlineStr">
        <is>
          <t xml:space="preserve">計算方法・出典</t>
        </is>
      </c>
    </row>
    <row r="3">
      <c r="A3" s="2" t="inlineStr">
        <is>
          <t xml:space="preserve">番号</t>
        </is>
      </c>
      <c r="B3" s="2" t="inlineStr">
        <is>
          <t xml:space="preserve">項目</t>
        </is>
      </c>
      <c r="C3" s="2" t="inlineStr">
        <is>
          <t xml:space="preserve">説明</t>
        </is>
      </c>
    </row>
    <row r="4">
      <c r="A4" t="inlineStr">
        <is>
          <t xml:space="preserve">1</t>
        </is>
      </c>
      <c r="B4" t="inlineStr">
        <is>
          <t xml:space="preserve">C列の出生数</t>
        </is>
      </c>
      <c r="C4" t="inlineStr">
        <is>
          <t xml:space="preserve">既存試作の47都道府県別2025年出生数を移行</t>
        </is>
      </c>
    </row>
    <row r="5">
      <c r="A5" t="inlineStr">
        <is>
          <t xml:space="preserve">2</t>
        </is>
      </c>
      <c r="B5" t="inlineStr">
        <is>
          <t xml:space="preserve">D列：抽選確率</t>
        </is>
      </c>
      <c r="C5" t="inlineStr">
        <is>
          <t xml:space="preserve">C列を国内47県の合計 C57 で割る</t>
        </is>
      </c>
    </row>
    <row r="6">
      <c r="A6" t="inlineStr">
        <is>
          <t xml:space="preserve">3</t>
        </is>
      </c>
      <c r="B6" t="inlineStr">
        <is>
          <t xml:space="preserve">E列：累積確率</t>
        </is>
      </c>
      <c r="C6" t="inlineStr">
        <is>
          <t xml:space="preserve">D列を上から累積。最後の行は100%</t>
        </is>
      </c>
    </row>
    <row r="7">
      <c r="A7" t="inlineStr">
        <is>
          <t xml:space="preserve">4</t>
        </is>
      </c>
      <c r="B7" t="inlineStr">
        <is>
          <t xml:space="preserve">F列：JS貼付用</t>
        </is>
      </c>
      <c r="C7" t="inlineStr">
        <is>
          <t xml:space="preserve">計算済みの累積値を文字列で出力。JS側では集計しない</t>
        </is>
      </c>
    </row>
    <row r="8">
      <c r="A8" t="inlineStr">
        <is>
          <t xml:space="preserve">5</t>
        </is>
      </c>
      <c r="B8" t="inlineStr">
        <is>
          <t xml:space="preserve">更新時</t>
        </is>
      </c>
      <c r="C8" t="inlineStr">
        <is>
          <t xml:space="preserve">出生数を差し替えたらD〜F列が再計算。完成値をゲームへ反映</t>
        </is>
      </c>
    </row>
    <row r="9">
      <c r="A9" t="inlineStr">
        <is>
          <t xml:space="preserve">6</t>
        </is>
      </c>
      <c r="B9" t="inlineStr">
        <is>
          <t xml:space="preserve">全国との15人の差</t>
        </is>
      </c>
      <c r="C9" t="inlineStr">
        <is>
          <t xml:space="preserve">外国の住所地を持つ出生15人は都道府県別に分配しない</t>
        </is>
      </c>
    </row>
    <row r="10">
      <c r="A10" t="inlineStr">
        <is>
          <t xml:space="preserve">7</t>
        </is>
      </c>
      <c r="B10" t="inlineStr">
        <is>
          <t xml:space="preserve">統計対象</t>
        </is>
      </c>
      <c r="C10" t="inlineStr">
        <is>
          <t xml:space="preserve">人口動態統計は国内の日本人出生。外国籍住民は含まない</t>
        </is>
      </c>
    </row>
    <row r="11">
      <c r="A11" t="inlineStr">
        <is>
          <t xml:space="preserve">8</t>
        </is>
      </c>
      <c r="B11" t="inlineStr">
        <is>
          <t xml:space="preserve">都道府県別原表</t>
        </is>
      </c>
      <c r="C11" t="inlineStr">
        <is>
          <t xml:space="preserve">2026年9月30日公開 e-Stat 上巻4-3。47都道府県すべて原表と照合済み（2026-10-28）</t>
        </is>
      </c>
    </row>
    <row r="14">
      <c r="A14" s="2" t="inlineStr">
        <is>
          <t xml:space="preserve">出典</t>
        </is>
      </c>
      <c r="B14" s="2" t="inlineStr">
        <is>
          <t xml:space="preserve">URL</t>
        </is>
      </c>
    </row>
    <row r="15">
      <c r="A15" t="inlineStr">
        <is>
          <t xml:space="preserve">e-Stat 確定数 上巻4-3</t>
        </is>
      </c>
      <c r="B15" t="inlineStr">
        <is>
          <t xml:space="preserve">https://www.e-stat.go.jp/stat-search/files?cycle=7&amp;layout=datalist&amp;month=0&amp;page=1&amp;tclass1=000001053058&amp;tclass2=000001053061&amp;tclass3=000001053064&amp;toukei=00450011&amp;tstat=000001028897&amp;year=20250</t>
        </is>
      </c>
    </row>
    <row r="16">
      <c r="A16" t="inlineStr">
        <is>
          <t xml:space="preserve">2025年の国内47県と全国の差</t>
        </is>
      </c>
      <c r="B16" t="inlineStr">
        <is>
          <t xml:space="preserve">https://totonoe.tech/blog/jinko-doutai-2025-shizen-gen/</t>
        </is>
      </c>
    </row>
  </sheetData>
</worksheet>
</file>

<file path=xl/worksheets/sheet3.xml><?xml version="1.0" encoding="utf-8"?>
<worksheet xmlns="http://schemas.openxmlformats.org/spreadsheetml/2006/main">
  <sheetFormatPr defaultRowHeight="24"/>
  <cols>
    <col min="1" max="1" width="20" customWidth="1"/>
    <col min="2" max="2" width="28" customWidth="1"/>
    <col min="3" max="3" width="22" customWidth="1"/>
    <col min="4" max="4" width="30" customWidth="1"/>
    <col min="5" max="5" width="22" customWidth="1"/>
    <col min="6" max="6" width="24" customWidth="1"/>
  </cols>
  <sheetData>
    <row r="1">
      <c r="A1" s="1" t="inlineStr">
        <is>
          <t xml:space="preserve">市区町村別確率計算（今後実装）</t>
        </is>
      </c>
    </row>
    <row r="3">
      <c r="A3" s="4" t="inlineStr">
        <is>
          <t xml:space="preserve">公式データ未取得のため数値は未入力。架空の出生数は使わない。</t>
        </is>
      </c>
    </row>
    <row r="5">
      <c r="A5" s="2" t="inlineStr">
        <is>
          <t xml:space="preserve">都道府県コード</t>
        </is>
      </c>
      <c r="B5" s="2" t="inlineStr">
        <is>
          <t xml:space="preserve">都道府県</t>
        </is>
      </c>
      <c r="C5" s="2" t="inlineStr">
        <is>
          <t xml:space="preserve">市区町村コード</t>
        </is>
      </c>
      <c r="D5" s="2" t="inlineStr">
        <is>
          <t xml:space="preserve">市区町村</t>
        </is>
      </c>
      <c r="E5" s="2" t="inlineStr">
        <is>
          <t xml:space="preserve">出生者数</t>
        </is>
      </c>
      <c r="F5" s="2" t="inlineStr">
        <is>
          <t xml:space="preserve">累積確率（予定）</t>
        </is>
      </c>
    </row>
  </sheetData>
</worksheet>
</file>

<file path=xl/worksheets/sheet4.xml><?xml version="1.0" encoding="utf-8"?>
<worksheet xmlns="http://schemas.openxmlformats.org/spreadsheetml/2006/main">
  <dimension ref="A1:F62"/>
  <sheetViews>
    <sheetView workbookViewId="0">
      <pane ySplit="7" topLeftCell="A8" activePane="bottomLeft" state="frozen"/>
    </sheetView>
  </sheetViews>
  <sheetFormatPr defaultRowHeight="19"/>
  <cols>
    <col min="1" max="1" width="12" customWidth="1"/>
    <col min="2" max="2" width="24" customWidth="1"/>
    <col min="3" max="5" width="18" customWidth="1"/>
    <col min="6" max="6" width="20" customWidth="1"/>
  </cols>
  <sheetData>
    <row r="1">
      <c r="A1" t="inlineStr" s="1">
        <is>
          <t xml:space="preserve">2025年 人口動態統計（確定数）｜都道府県別出生数・原表照合</t>
        </is>
      </c>
    </row>
    <row r="2">
      <c r="A2" t="inlineStr" s="4">
        <is>
          <t xml:space="preserve">照合日：2026年10月28日。厚生労働省の公表資料・第4表を使用。</t>
        </is>
      </c>
    </row>
    <row r="4">
      <c r="A4" t="inlineStr" s="2">
        <is>
          <t xml:space="preserve">参考資料</t>
        </is>
      </c>
      <c r="B4" t="inlineStr">
        <is>
          <t xml:space="preserve">https://www.mhlw.go.jp/toukei/saikin/hw/jinkou/kakutei25/dl/03_toukeihyoR07.pdf</t>
        </is>
      </c>
    </row>
    <row r="5">
      <c r="A5" t="inlineStr" s="2">
        <is>
          <t xml:space="preserve">対象</t>
        </is>
      </c>
      <c r="B5" t="inlineStr">
        <is>
          <t xml:space="preserve">日本国内の日本人出生数（47都道府県）。外国籍を含む全出生ではない。</t>
        </is>
      </c>
    </row>
    <row r="7">
      <c r="A7" t="inlineStr" s="2">
        <is>
          <t xml:space="preserve">番号</t>
        </is>
      </c>
      <c r="B7" t="inlineStr" s="2">
        <is>
          <t xml:space="preserve">都道府県</t>
        </is>
      </c>
      <c r="C7" t="inlineStr" s="2">
        <is>
          <t xml:space="preserve">公式原表</t>
        </is>
      </c>
      <c r="D7" t="inlineStr" s="2">
        <is>
          <t xml:space="preserve">計算表</t>
        </is>
      </c>
      <c r="E7" t="inlineStr" s="2">
        <is>
          <t xml:space="preserve">差異</t>
        </is>
      </c>
      <c r="F7" t="inlineStr" s="2">
        <is>
          <t xml:space="preserve">一致判定</t>
        </is>
      </c>
    </row>
    <row r="8">
      <c r="A8">
        <v>1</v>
      </c>
      <c r="B8" t="inlineStr">
        <is>
          <t xml:space="preserve">北海道</t>
        </is>
      </c>
      <c r="C8">
        <v>21802</v>
      </c>
      <c r="D8">
        <f>'都道府県_確率計算'!C9</f>
        <v>21802</v>
      </c>
      <c r="E8">
        <f>D8-C8</f>
        <v>0</v>
      </c>
      <c r="F8" t="str">
        <f>IF(E8=0,"一致","不一致")</f>
        <v>一致</v>
      </c>
    </row>
    <row r="9">
      <c r="A9">
        <v>2</v>
      </c>
      <c r="B9" t="inlineStr">
        <is>
          <t xml:space="preserve">青森県</t>
        </is>
      </c>
      <c r="C9">
        <v>4737</v>
      </c>
      <c r="D9">
        <f>'都道府県_確率計算'!C10</f>
        <v>4737</v>
      </c>
      <c r="E9">
        <f>D9-C9</f>
        <v>0</v>
      </c>
      <c r="F9" t="str">
        <f>IF(E9=0,"一致","不一致")</f>
        <v>一致</v>
      </c>
    </row>
    <row r="10">
      <c r="A10">
        <v>3</v>
      </c>
      <c r="B10" t="inlineStr">
        <is>
          <t xml:space="preserve">岩手県</t>
        </is>
      </c>
      <c r="C10">
        <v>4823</v>
      </c>
      <c r="D10">
        <f>'都道府県_確率計算'!C11</f>
        <v>4823</v>
      </c>
      <c r="E10">
        <f>D10-C10</f>
        <v>0</v>
      </c>
      <c r="F10" t="str">
        <f>IF(E10=0,"一致","不一致")</f>
        <v>一致</v>
      </c>
    </row>
    <row r="11">
      <c r="A11">
        <v>4</v>
      </c>
      <c r="B11" t="inlineStr">
        <is>
          <t xml:space="preserve">宮城県</t>
        </is>
      </c>
      <c r="C11">
        <v>11079</v>
      </c>
      <c r="D11">
        <f>'都道府県_確率計算'!C12</f>
        <v>11079</v>
      </c>
      <c r="E11">
        <f>D11-C11</f>
        <v>0</v>
      </c>
      <c r="F11" t="str">
        <f>IF(E11=0,"一致","不一致")</f>
        <v>一致</v>
      </c>
    </row>
    <row r="12">
      <c r="A12">
        <v>5</v>
      </c>
      <c r="B12" t="inlineStr">
        <is>
          <t xml:space="preserve">秋田県</t>
        </is>
      </c>
      <c r="C12">
        <v>3148</v>
      </c>
      <c r="D12">
        <f>'都道府県_確率計算'!C13</f>
        <v>3148</v>
      </c>
      <c r="E12">
        <f>D12-C12</f>
        <v>0</v>
      </c>
      <c r="F12" t="str">
        <f>IF(E12=0,"一致","不一致")</f>
        <v>一致</v>
      </c>
    </row>
    <row r="13">
      <c r="A13">
        <v>6</v>
      </c>
      <c r="B13" t="inlineStr">
        <is>
          <t xml:space="preserve">山形県</t>
        </is>
      </c>
      <c r="C13">
        <v>4380</v>
      </c>
      <c r="D13">
        <f>'都道府県_確率計算'!C14</f>
        <v>4380</v>
      </c>
      <c r="E13">
        <f>D13-C13</f>
        <v>0</v>
      </c>
      <c r="F13" t="str">
        <f>IF(E13=0,"一致","不一致")</f>
        <v>一致</v>
      </c>
    </row>
    <row r="14">
      <c r="A14">
        <v>7</v>
      </c>
      <c r="B14" t="inlineStr">
        <is>
          <t xml:space="preserve">福島県</t>
        </is>
      </c>
      <c r="C14">
        <v>7842</v>
      </c>
      <c r="D14">
        <f>'都道府県_確率計算'!C15</f>
        <v>7842</v>
      </c>
      <c r="E14">
        <f>D14-C14</f>
        <v>0</v>
      </c>
      <c r="F14" t="str">
        <f>IF(E14=0,"一致","不一致")</f>
        <v>一致</v>
      </c>
    </row>
    <row r="15">
      <c r="A15">
        <v>8</v>
      </c>
      <c r="B15" t="inlineStr">
        <is>
          <t xml:space="preserve">茨城県</t>
        </is>
      </c>
      <c r="C15">
        <v>13409</v>
      </c>
      <c r="D15">
        <f>'都道府県_確率計算'!C16</f>
        <v>13409</v>
      </c>
      <c r="E15">
        <f>D15-C15</f>
        <v>0</v>
      </c>
      <c r="F15" t="str">
        <f>IF(E15=0,"一致","不一致")</f>
        <v>一致</v>
      </c>
    </row>
    <row r="16">
      <c r="A16">
        <v>9</v>
      </c>
      <c r="B16" t="inlineStr">
        <is>
          <t xml:space="preserve">栃木県</t>
        </is>
      </c>
      <c r="C16">
        <v>8932</v>
      </c>
      <c r="D16">
        <f>'都道府県_確率計算'!C17</f>
        <v>8932</v>
      </c>
      <c r="E16">
        <f>D16-C16</f>
        <v>0</v>
      </c>
      <c r="F16" t="str">
        <f>IF(E16=0,"一致","不一致")</f>
        <v>一致</v>
      </c>
    </row>
    <row r="17">
      <c r="A17">
        <v>10</v>
      </c>
      <c r="B17" t="inlineStr">
        <is>
          <t xml:space="preserve">群馬県</t>
        </is>
      </c>
      <c r="C17">
        <v>8950</v>
      </c>
      <c r="D17">
        <f>'都道府県_確率計算'!C18</f>
        <v>8950</v>
      </c>
      <c r="E17">
        <f>D17-C17</f>
        <v>0</v>
      </c>
      <c r="F17" t="str">
        <f>IF(E17=0,"一致","不一致")</f>
        <v>一致</v>
      </c>
    </row>
    <row r="18">
      <c r="A18">
        <v>11</v>
      </c>
      <c r="B18" t="inlineStr">
        <is>
          <t xml:space="preserve">埼玉県</t>
        </is>
      </c>
      <c r="C18">
        <v>38812</v>
      </c>
      <c r="D18">
        <f>'都道府県_確率計算'!C19</f>
        <v>38812</v>
      </c>
      <c r="E18">
        <f>D18-C18</f>
        <v>0</v>
      </c>
      <c r="F18" t="str">
        <f>IF(E18=0,"一致","不一致")</f>
        <v>一致</v>
      </c>
    </row>
    <row r="19">
      <c r="A19">
        <v>12</v>
      </c>
      <c r="B19" t="inlineStr">
        <is>
          <t xml:space="preserve">千葉県</t>
        </is>
      </c>
      <c r="C19">
        <v>32988</v>
      </c>
      <c r="D19">
        <f>'都道府県_確率計算'!C20</f>
        <v>32988</v>
      </c>
      <c r="E19">
        <f>D19-C19</f>
        <v>0</v>
      </c>
      <c r="F19" t="str">
        <f>IF(E19=0,"一致","不一致")</f>
        <v>一致</v>
      </c>
    </row>
    <row r="20">
      <c r="A20">
        <v>13</v>
      </c>
      <c r="B20" t="inlineStr">
        <is>
          <t xml:space="preserve">東京都</t>
        </is>
      </c>
      <c r="C20">
        <v>85090</v>
      </c>
      <c r="D20">
        <f>'都道府県_確率計算'!C21</f>
        <v>85090</v>
      </c>
      <c r="E20">
        <f>D20-C20</f>
        <v>0</v>
      </c>
      <c r="F20" t="str">
        <f>IF(E20=0,"一致","不一致")</f>
        <v>一致</v>
      </c>
    </row>
    <row r="21">
      <c r="A21">
        <v>14</v>
      </c>
      <c r="B21" t="inlineStr">
        <is>
          <t xml:space="preserve">神奈川県</t>
        </is>
      </c>
      <c r="C21">
        <v>50209</v>
      </c>
      <c r="D21">
        <f>'都道府県_確率計算'!C22</f>
        <v>50209</v>
      </c>
      <c r="E21">
        <f>D21-C21</f>
        <v>0</v>
      </c>
      <c r="F21" t="str">
        <f>IF(E21=0,"一致","不一致")</f>
        <v>一致</v>
      </c>
    </row>
    <row r="22">
      <c r="A22">
        <v>15</v>
      </c>
      <c r="B22" t="inlineStr">
        <is>
          <t xml:space="preserve">新潟県</t>
        </is>
      </c>
      <c r="C22">
        <v>9580</v>
      </c>
      <c r="D22">
        <f>'都道府県_確率計算'!C23</f>
        <v>9580</v>
      </c>
      <c r="E22">
        <f>D22-C22</f>
        <v>0</v>
      </c>
      <c r="F22" t="str">
        <f>IF(E22=0,"一致","不一致")</f>
        <v>一致</v>
      </c>
    </row>
    <row r="23">
      <c r="A23">
        <v>16</v>
      </c>
      <c r="B23" t="inlineStr">
        <is>
          <t xml:space="preserve">富山県</t>
        </is>
      </c>
      <c r="C23">
        <v>5125</v>
      </c>
      <c r="D23">
        <f>'都道府県_確率計算'!C24</f>
        <v>5125</v>
      </c>
      <c r="E23">
        <f>D23-C23</f>
        <v>0</v>
      </c>
      <c r="F23" t="str">
        <f>IF(E23=0,"一致","不一致")</f>
        <v>一致</v>
      </c>
    </row>
    <row r="24">
      <c r="A24">
        <v>17</v>
      </c>
      <c r="B24" t="inlineStr">
        <is>
          <t xml:space="preserve">石川県</t>
        </is>
      </c>
      <c r="C24">
        <v>6242</v>
      </c>
      <c r="D24">
        <f>'都道府県_確率計算'!C25</f>
        <v>6242</v>
      </c>
      <c r="E24">
        <f>D24-C24</f>
        <v>0</v>
      </c>
      <c r="F24" t="str">
        <f>IF(E24=0,"一致","不一致")</f>
        <v>一致</v>
      </c>
    </row>
    <row r="25">
      <c r="A25">
        <v>18</v>
      </c>
      <c r="B25" t="inlineStr">
        <is>
          <t xml:space="preserve">福井県</t>
        </is>
      </c>
      <c r="C25">
        <v>4314</v>
      </c>
      <c r="D25">
        <f>'都道府県_確率計算'!C26</f>
        <v>4314</v>
      </c>
      <c r="E25">
        <f>D25-C25</f>
        <v>0</v>
      </c>
      <c r="F25" t="str">
        <f>IF(E25=0,"一致","不一致")</f>
        <v>一致</v>
      </c>
    </row>
    <row r="26">
      <c r="A26">
        <v>19</v>
      </c>
      <c r="B26" t="inlineStr">
        <is>
          <t xml:space="preserve">山梨県</t>
        </is>
      </c>
      <c r="C26">
        <v>4016</v>
      </c>
      <c r="D26">
        <f>'都道府県_確率計算'!C27</f>
        <v>4016</v>
      </c>
      <c r="E26">
        <f>D26-C26</f>
        <v>0</v>
      </c>
      <c r="F26" t="str">
        <f>IF(E26=0,"一致","不一致")</f>
        <v>一致</v>
      </c>
    </row>
    <row r="27">
      <c r="A27">
        <v>20</v>
      </c>
      <c r="B27" t="inlineStr">
        <is>
          <t xml:space="preserve">長野県</t>
        </is>
      </c>
      <c r="C27">
        <v>9875</v>
      </c>
      <c r="D27">
        <f>'都道府県_確率計算'!C28</f>
        <v>9875</v>
      </c>
      <c r="E27">
        <f>D27-C27</f>
        <v>0</v>
      </c>
      <c r="F27" t="str">
        <f>IF(E27=0,"一致","不一致")</f>
        <v>一致</v>
      </c>
    </row>
    <row r="28">
      <c r="A28">
        <v>21</v>
      </c>
      <c r="B28" t="inlineStr">
        <is>
          <t xml:space="preserve">岐阜県</t>
        </is>
      </c>
      <c r="C28">
        <v>9351</v>
      </c>
      <c r="D28">
        <f>'都道府県_確率計算'!C29</f>
        <v>9351</v>
      </c>
      <c r="E28">
        <f>D28-C28</f>
        <v>0</v>
      </c>
      <c r="F28" t="str">
        <f>IF(E28=0,"一致","不一致")</f>
        <v>一致</v>
      </c>
    </row>
    <row r="29">
      <c r="A29">
        <v>22</v>
      </c>
      <c r="B29" t="inlineStr">
        <is>
          <t xml:space="preserve">静岡県</t>
        </is>
      </c>
      <c r="C29">
        <v>17092</v>
      </c>
      <c r="D29">
        <f>'都道府県_確率計算'!C30</f>
        <v>17092</v>
      </c>
      <c r="E29">
        <f>D29-C29</f>
        <v>0</v>
      </c>
      <c r="F29" t="str">
        <f>IF(E29=0,"一致","不一致")</f>
        <v>一致</v>
      </c>
    </row>
    <row r="30">
      <c r="A30">
        <v>23</v>
      </c>
      <c r="B30" t="inlineStr">
        <is>
          <t xml:space="preserve">愛知県</t>
        </is>
      </c>
      <c r="C30">
        <v>44290</v>
      </c>
      <c r="D30">
        <f>'都道府県_確率計算'!C31</f>
        <v>44290</v>
      </c>
      <c r="E30">
        <f>D30-C30</f>
        <v>0</v>
      </c>
      <c r="F30" t="str">
        <f>IF(E30=0,"一致","不一致")</f>
        <v>一致</v>
      </c>
    </row>
    <row r="31">
      <c r="A31">
        <v>24</v>
      </c>
      <c r="B31" t="inlineStr">
        <is>
          <t xml:space="preserve">三重県</t>
        </is>
      </c>
      <c r="C31">
        <v>8792</v>
      </c>
      <c r="D31">
        <f>'都道府県_確率計算'!C32</f>
        <v>8792</v>
      </c>
      <c r="E31">
        <f>D31-C31</f>
        <v>0</v>
      </c>
      <c r="F31" t="str">
        <f>IF(E31=0,"一致","不一致")</f>
        <v>一致</v>
      </c>
    </row>
    <row r="32">
      <c r="A32">
        <v>25</v>
      </c>
      <c r="B32" t="inlineStr">
        <is>
          <t xml:space="preserve">滋賀県</t>
        </is>
      </c>
      <c r="C32">
        <v>8708</v>
      </c>
      <c r="D32">
        <f>'都道府県_確率計算'!C33</f>
        <v>8708</v>
      </c>
      <c r="E32">
        <f>D32-C32</f>
        <v>0</v>
      </c>
      <c r="F32" t="str">
        <f>IF(E32=0,"一致","不一致")</f>
        <v>一致</v>
      </c>
    </row>
    <row r="33">
      <c r="A33">
        <v>26</v>
      </c>
      <c r="B33" t="inlineStr">
        <is>
          <t xml:space="preserve">京都府</t>
        </is>
      </c>
      <c r="C33">
        <v>12677</v>
      </c>
      <c r="D33">
        <f>'都道府県_確率計算'!C34</f>
        <v>12677</v>
      </c>
      <c r="E33">
        <f>D33-C33</f>
        <v>0</v>
      </c>
      <c r="F33" t="str">
        <f>IF(E33=0,"一致","不一致")</f>
        <v>一致</v>
      </c>
    </row>
    <row r="34">
      <c r="A34">
        <v>27</v>
      </c>
      <c r="B34" t="inlineStr">
        <is>
          <t xml:space="preserve">大阪府</t>
        </is>
      </c>
      <c r="C34">
        <v>52598</v>
      </c>
      <c r="D34">
        <f>'都道府県_確率計算'!C35</f>
        <v>52598</v>
      </c>
      <c r="E34">
        <f>D34-C34</f>
        <v>0</v>
      </c>
      <c r="F34" t="str">
        <f>IF(E34=0,"一致","不一致")</f>
        <v>一致</v>
      </c>
    </row>
    <row r="35">
      <c r="A35">
        <v>28</v>
      </c>
      <c r="B35" t="inlineStr">
        <is>
          <t xml:space="preserve">兵庫県</t>
        </is>
      </c>
      <c r="C35">
        <v>30110</v>
      </c>
      <c r="D35">
        <f>'都道府県_確率計算'!C36</f>
        <v>30110</v>
      </c>
      <c r="E35">
        <f>D35-C35</f>
        <v>0</v>
      </c>
      <c r="F35" t="str">
        <f>IF(E35=0,"一致","不一致")</f>
        <v>一致</v>
      </c>
    </row>
    <row r="36">
      <c r="A36">
        <v>29</v>
      </c>
      <c r="B36" t="inlineStr">
        <is>
          <t xml:space="preserve">奈良県</t>
        </is>
      </c>
      <c r="C36">
        <v>6409</v>
      </c>
      <c r="D36">
        <f>'都道府県_確率計算'!C37</f>
        <v>6409</v>
      </c>
      <c r="E36">
        <f>D36-C36</f>
        <v>0</v>
      </c>
      <c r="F36" t="str">
        <f>IF(E36=0,"一致","不一致")</f>
        <v>一致</v>
      </c>
    </row>
    <row r="37">
      <c r="A37">
        <v>30</v>
      </c>
      <c r="B37" t="inlineStr">
        <is>
          <t xml:space="preserve">和歌山県</t>
        </is>
      </c>
      <c r="C37">
        <v>4246</v>
      </c>
      <c r="D37">
        <f>'都道府県_確率計算'!C38</f>
        <v>4246</v>
      </c>
      <c r="E37">
        <f>D37-C37</f>
        <v>0</v>
      </c>
      <c r="F37" t="str">
        <f>IF(E37=0,"一致","不一致")</f>
        <v>一致</v>
      </c>
    </row>
    <row r="38">
      <c r="A38">
        <v>31</v>
      </c>
      <c r="B38" t="inlineStr">
        <is>
          <t xml:space="preserve">鳥取県</t>
        </is>
      </c>
      <c r="C38">
        <v>2973</v>
      </c>
      <c r="D38">
        <f>'都道府県_確率計算'!C39</f>
        <v>2973</v>
      </c>
      <c r="E38">
        <f>D38-C38</f>
        <v>0</v>
      </c>
      <c r="F38" t="str">
        <f>IF(E38=0,"一致","不一致")</f>
        <v>一致</v>
      </c>
    </row>
    <row r="39">
      <c r="A39">
        <v>32</v>
      </c>
      <c r="B39" t="inlineStr">
        <is>
          <t xml:space="preserve">島根県</t>
        </is>
      </c>
      <c r="C39">
        <v>3339</v>
      </c>
      <c r="D39">
        <f>'都道府県_確率計算'!C40</f>
        <v>3339</v>
      </c>
      <c r="E39">
        <f>D39-C39</f>
        <v>0</v>
      </c>
      <c r="F39" t="str">
        <f>IF(E39=0,"一致","不一致")</f>
        <v>一致</v>
      </c>
    </row>
    <row r="40">
      <c r="A40">
        <v>33</v>
      </c>
      <c r="B40" t="inlineStr">
        <is>
          <t xml:space="preserve">岡山県</t>
        </is>
      </c>
      <c r="C40">
        <v>10426</v>
      </c>
      <c r="D40">
        <f>'都道府県_確率計算'!C41</f>
        <v>10426</v>
      </c>
      <c r="E40">
        <f>D40-C40</f>
        <v>0</v>
      </c>
      <c r="F40" t="str">
        <f>IF(E40=0,"一致","不一致")</f>
        <v>一致</v>
      </c>
    </row>
    <row r="41">
      <c r="A41">
        <v>34</v>
      </c>
      <c r="B41" t="inlineStr">
        <is>
          <t xml:space="preserve">広島県</t>
        </is>
      </c>
      <c r="C41">
        <v>15238</v>
      </c>
      <c r="D41">
        <f>'都道府県_確率計算'!C42</f>
        <v>15238</v>
      </c>
      <c r="E41">
        <f>D41-C41</f>
        <v>0</v>
      </c>
      <c r="F41" t="str">
        <f>IF(E41=0,"一致","不一致")</f>
        <v>一致</v>
      </c>
    </row>
    <row r="42">
      <c r="A42">
        <v>35</v>
      </c>
      <c r="B42" t="inlineStr">
        <is>
          <t xml:space="preserve">山口県</t>
        </is>
      </c>
      <c r="C42">
        <v>6401</v>
      </c>
      <c r="D42">
        <f>'都道府県_確率計算'!C43</f>
        <v>6401</v>
      </c>
      <c r="E42">
        <f>D42-C42</f>
        <v>0</v>
      </c>
      <c r="F42" t="str">
        <f>IF(E42=0,"一致","不一致")</f>
        <v>一致</v>
      </c>
    </row>
    <row r="43">
      <c r="A43">
        <v>36</v>
      </c>
      <c r="B43" t="inlineStr">
        <is>
          <t xml:space="preserve">徳島県</t>
        </is>
      </c>
      <c r="C43">
        <v>3527</v>
      </c>
      <c r="D43">
        <f>'都道府県_確率計算'!C44</f>
        <v>3527</v>
      </c>
      <c r="E43">
        <f>D43-C43</f>
        <v>0</v>
      </c>
      <c r="F43" t="str">
        <f>IF(E43=0,"一致","不一致")</f>
        <v>一致</v>
      </c>
    </row>
    <row r="44">
      <c r="A44">
        <v>37</v>
      </c>
      <c r="B44" t="inlineStr">
        <is>
          <t xml:space="preserve">香川県</t>
        </is>
      </c>
      <c r="C44">
        <v>5103</v>
      </c>
      <c r="D44">
        <f>'都道府県_確率計算'!C45</f>
        <v>5103</v>
      </c>
      <c r="E44">
        <f>D44-C44</f>
        <v>0</v>
      </c>
      <c r="F44" t="str">
        <f>IF(E44=0,"一致","不一致")</f>
        <v>一致</v>
      </c>
    </row>
    <row r="45">
      <c r="A45">
        <v>38</v>
      </c>
      <c r="B45" t="inlineStr">
        <is>
          <t xml:space="preserve">愛媛県</t>
        </is>
      </c>
      <c r="C45">
        <v>6422</v>
      </c>
      <c r="D45">
        <f>'都道府県_確率計算'!C46</f>
        <v>6422</v>
      </c>
      <c r="E45">
        <f>D45-C45</f>
        <v>0</v>
      </c>
      <c r="F45" t="str">
        <f>IF(E45=0,"一致","不一致")</f>
        <v>一致</v>
      </c>
    </row>
    <row r="46">
      <c r="A46">
        <v>39</v>
      </c>
      <c r="B46" t="inlineStr">
        <is>
          <t xml:space="preserve">高知県</t>
        </is>
      </c>
      <c r="C46">
        <v>3079</v>
      </c>
      <c r="D46">
        <f>'都道府県_確率計算'!C47</f>
        <v>3079</v>
      </c>
      <c r="E46">
        <f>D46-C46</f>
        <v>0</v>
      </c>
      <c r="F46" t="str">
        <f>IF(E46=0,"一致","不一致")</f>
        <v>一致</v>
      </c>
    </row>
    <row r="47">
      <c r="A47">
        <v>40</v>
      </c>
      <c r="B47" t="inlineStr">
        <is>
          <t xml:space="preserve">福岡県</t>
        </is>
      </c>
      <c r="C47">
        <v>31710</v>
      </c>
      <c r="D47">
        <f>'都道府県_確率計算'!C48</f>
        <v>31710</v>
      </c>
      <c r="E47">
        <f>D47-C47</f>
        <v>0</v>
      </c>
      <c r="F47" t="str">
        <f>IF(E47=0,"一致","不一致")</f>
        <v>一致</v>
      </c>
    </row>
    <row r="48">
      <c r="A48">
        <v>41</v>
      </c>
      <c r="B48" t="inlineStr">
        <is>
          <t xml:space="preserve">佐賀県</t>
        </is>
      </c>
      <c r="C48">
        <v>4611</v>
      </c>
      <c r="D48">
        <f>'都道府県_確率計算'!C49</f>
        <v>4611</v>
      </c>
      <c r="E48">
        <f>D48-C48</f>
        <v>0</v>
      </c>
      <c r="F48" t="str">
        <f>IF(E48=0,"一致","不一致")</f>
        <v>一致</v>
      </c>
    </row>
    <row r="49">
      <c r="A49">
        <v>42</v>
      </c>
      <c r="B49" t="inlineStr">
        <is>
          <t xml:space="preserve">長崎県</t>
        </is>
      </c>
      <c r="C49">
        <v>6846</v>
      </c>
      <c r="D49">
        <f>'都道府県_確率計算'!C50</f>
        <v>6846</v>
      </c>
      <c r="E49">
        <f>D49-C49</f>
        <v>0</v>
      </c>
      <c r="F49" t="str">
        <f>IF(E49=0,"一致","不一致")</f>
        <v>一致</v>
      </c>
    </row>
    <row r="50">
      <c r="A50">
        <v>43</v>
      </c>
      <c r="B50" t="inlineStr">
        <is>
          <t xml:space="preserve">熊本県</t>
        </is>
      </c>
      <c r="C50">
        <v>10193</v>
      </c>
      <c r="D50">
        <f>'都道府県_確率計算'!C51</f>
        <v>10193</v>
      </c>
      <c r="E50">
        <f>D50-C50</f>
        <v>0</v>
      </c>
      <c r="F50" t="str">
        <f>IF(E50=0,"一致","不一致")</f>
        <v>一致</v>
      </c>
    </row>
    <row r="51">
      <c r="A51">
        <v>44</v>
      </c>
      <c r="B51" t="inlineStr">
        <is>
          <t xml:space="preserve">大分県</t>
        </is>
      </c>
      <c r="C51">
        <v>5666</v>
      </c>
      <c r="D51">
        <f>'都道府県_確率計算'!C52</f>
        <v>5666</v>
      </c>
      <c r="E51">
        <f>D51-C51</f>
        <v>0</v>
      </c>
      <c r="F51" t="str">
        <f>IF(E51=0,"一致","不一致")</f>
        <v>一致</v>
      </c>
    </row>
    <row r="52">
      <c r="A52">
        <v>45</v>
      </c>
      <c r="B52" t="inlineStr">
        <is>
          <t xml:space="preserve">宮崎県</t>
        </is>
      </c>
      <c r="C52">
        <v>5923</v>
      </c>
      <c r="D52">
        <f>'都道府県_確率計算'!C53</f>
        <v>5923</v>
      </c>
      <c r="E52">
        <f>D52-C52</f>
        <v>0</v>
      </c>
      <c r="F52" t="str">
        <f>IF(E52=0,"一致","不一致")</f>
        <v>一致</v>
      </c>
    </row>
    <row r="53">
      <c r="A53">
        <v>46</v>
      </c>
      <c r="B53" t="inlineStr">
        <is>
          <t xml:space="preserve">鹿児島県</t>
        </is>
      </c>
      <c r="C53">
        <v>8661</v>
      </c>
      <c r="D53">
        <f>'都道府県_確率計算'!C54</f>
        <v>8661</v>
      </c>
      <c r="E53">
        <f>D53-C53</f>
        <v>0</v>
      </c>
      <c r="F53" t="str">
        <f>IF(E53=0,"一致","不一致")</f>
        <v>一致</v>
      </c>
    </row>
    <row r="54">
      <c r="A54">
        <v>47</v>
      </c>
      <c r="B54" t="inlineStr">
        <is>
          <t xml:space="preserve">沖縄県</t>
        </is>
      </c>
      <c r="C54">
        <v>11511</v>
      </c>
      <c r="D54">
        <f>'都道府県_確率計算'!C55</f>
        <v>11511</v>
      </c>
      <c r="E54">
        <f>D54-C54</f>
        <v>0</v>
      </c>
      <c r="F54" t="str">
        <f>IF(E54=0,"一致","不一致")</f>
        <v>一致</v>
      </c>
    </row>
    <row r="56">
      <c r="B56" t="inlineStr" s="2">
        <is>
          <t xml:space="preserve">国内47都道府県合計</t>
        </is>
      </c>
      <c r="C56">
        <f>SUM(C8:C54)</f>
        <v>671255</v>
      </c>
      <c r="D56">
        <f>SUM(D8:D54)</f>
        <v>671255</v>
      </c>
      <c r="E56">
        <f>D56-C56</f>
        <v>0</v>
      </c>
      <c r="F56" t="str">
        <f>IF(E56=0,"一致","不一致")</f>
        <v>一致</v>
      </c>
    </row>
    <row r="57">
      <c r="B57" t="inlineStr">
        <is>
          <t xml:space="preserve">全国出生数（外国住所地含む）</t>
        </is>
      </c>
      <c r="C57">
        <v>671270</v>
      </c>
    </row>
    <row r="58">
      <c r="B58" t="inlineStr">
        <is>
          <t xml:space="preserve">外国住所地の出生数</t>
        </is>
      </c>
      <c r="C58">
        <f>C57-C56</f>
        <v>15</v>
      </c>
    </row>
    <row r="60">
      <c r="B60" t="inlineStr">
        <is>
          <t xml:space="preserve">照合件数</t>
        </is>
      </c>
      <c r="C60">
        <v>47</v>
      </c>
      <c r="D60" t="inlineStr">
        <is>
          <t xml:space="preserve">不一致の件数</t>
        </is>
      </c>
      <c r="E60">
        <f>COUNTIF(F8:F54,"不一致")</f>
        <v>0</v>
      </c>
    </row>
    <row r="62">
      <c r="A62" t="inlineStr" s="4">
        <is>
          <t xml:space="preserve">本シートの「公式原表」は公表数値を固定値で転記。D列以降は計算式で照合。</t>
        </is>
      </c>
    </row>
  </sheetData>
</worksheet>
</file>

<file path=xl/worksheets/sheet5.xml><?xml version="1.0" encoding="utf-8"?>
<worksheet xmlns="http://schemas.openxmlformats.org/spreadsheetml/2006/main">
  <dimension ref="A1:H60"/>
  <sheetViews>
    <sheetView workbookViewId="0">
      <pane ySplit="8" topLeftCell="A9" activePane="bottomLeft" state="frozen"/>
    </sheetView>
  </sheetViews>
  <sheetFormatPr defaultRowHeight="20"/>
  <cols>
    <col min="1" max="1" width="11" customWidth="1"/>
    <col min="2" max="2" width="23" customWidth="1"/>
    <col min="3" max="3" width="19" customWidth="1"/>
    <col min="4" max="4" width="19" customWidth="1"/>
    <col min="5" max="5" width="19" customWidth="1"/>
    <col min="6" max="6" width="52" customWidth="1"/>
    <col min="7" max="7" width="19" customWidth="1"/>
    <col min="8" max="8" width="24" customWidth="1"/>
  </cols>
  <sheetData>
    <row r="1">
      <c r="A1" s="1" t="inlineStr">
        <is>
          <t xml:space="preserve">出生地ガチャ｜抽選用データ（出生数の多い順）</t>
        </is>
      </c>
    </row>
    <row r="2">
      <c r="A2" s="4" t="inlineStr">
        <is>
          <t xml:space="preserve">原本は「都道府県_確率計算」に保持。こちらは抽選高速化用の別シート。</t>
        </is>
      </c>
    </row>
    <row r="4">
      <c r="A4" s="2" t="inlineStr">
        <is>
          <t xml:space="preserve">並び順</t>
        </is>
      </c>
      <c r="B4" t="inlineStr">
        <is>
          <t xml:space="preserve">出生数の多い順（降順）</t>
        </is>
      </c>
    </row>
    <row r="5">
      <c r="A5" s="2" t="inlineStr">
        <is>
          <t xml:space="preserve">基準</t>
        </is>
      </c>
      <c r="B5" t="inlineStr">
        <is>
          <t xml:space="preserve">2025年人口動態統計（確定数）第4表</t>
        </is>
      </c>
    </row>
    <row r="6">
      <c r="A6" s="2" t="inlineStr">
        <is>
          <t xml:space="preserve">更新時の注意</t>
        </is>
      </c>
      <c r="B6" t="inlineStr">
        <is>
          <t xml:space="preserve">元表の出生数を変えた場合、抽選順は再並べ替えが必要</t>
        </is>
      </c>
    </row>
    <row r="8">
      <c r="A8" s="2" t="inlineStr">
        <is>
          <t xml:space="preserve">順位</t>
        </is>
      </c>
      <c r="B8" s="2" t="inlineStr">
        <is>
          <t xml:space="preserve">都道府県</t>
        </is>
      </c>
      <c r="C8" s="2" t="inlineStr">
        <is>
          <t xml:space="preserve">出生数（人）</t>
        </is>
      </c>
      <c r="D8" s="2" t="inlineStr">
        <is>
          <t xml:space="preserve">抽選確率</t>
        </is>
      </c>
      <c r="E8" s="2" t="inlineStr">
        <is>
          <t xml:space="preserve">累積確率</t>
        </is>
      </c>
      <c r="F8" s="2" t="inlineStr">
        <is>
          <t xml:space="preserve">JS用（確率・累積）</t>
        </is>
      </c>
      <c r="G8" s="2" t="inlineStr">
        <is>
          <t xml:space="preserve">元データの行</t>
        </is>
      </c>
      <c r="H8" s="2" t="inlineStr">
        <is>
          <t xml:space="preserve">照合状態</t>
        </is>
      </c>
    </row>
    <row r="9">
      <c r="A9">
        <v>1</v>
      </c>
      <c r="B9" t="str">
        <f>'都道府県_確率計算'!B21</f>
        <v>東京都</v>
      </c>
      <c r="C9">
        <f>'都道府県_確率計算'!C21</f>
        <v>85090</v>
      </c>
      <c r="D9" s="3">
        <f>C9/'都道府県_確率計算'!$C$57</f>
        <v>0.12676255670348824</v>
      </c>
      <c r="E9" s="3">
        <f>SUM($D$9:D9)</f>
        <v>0.12676255670348824</v>
      </c>
      <c r="F9" t="str">
        <f>"["&amp;CHAR(34)&amp;B9&amp;CHAR(34)&amp;", "&amp;TEXT(D9,"0.000000000000")&amp;", "&amp;TEXT(E9,"0.000000000000")&amp;"],"</f>
        <v>["東京都", 0.126762556703, 0.126762556703],</v>
      </c>
      <c r="G9">
        <v>21</v>
      </c>
      <c r="H9" t="inlineStr">
        <is>
          <t xml:space="preserve">公式原表照合済み</t>
        </is>
      </c>
    </row>
    <row r="10">
      <c r="A10">
        <v>2</v>
      </c>
      <c r="B10" t="str">
        <f>'都道府県_確率計算'!B35</f>
        <v>大阪府</v>
      </c>
      <c r="C10">
        <f>'都道府県_確率計算'!C35</f>
        <v>52598</v>
      </c>
      <c r="D10" s="3">
        <f>C10/'都道府県_確率計算'!$C$57</f>
        <v>0.07835770310835674</v>
      </c>
      <c r="E10" s="3">
        <f>SUM($D$9:D10)</f>
        <v>0.20512025981184498</v>
      </c>
      <c r="F10" t="str">
        <f>"["&amp;CHAR(34)&amp;B10&amp;CHAR(34)&amp;", "&amp;TEXT(D10,"0.000000000000")&amp;", "&amp;TEXT(E10,"0.000000000000")&amp;"],"</f>
        <v>["大阪府", 0.078357703108, 0.205120259812],</v>
      </c>
      <c r="G10">
        <v>35</v>
      </c>
      <c r="H10" t="inlineStr">
        <is>
          <t xml:space="preserve">公式原表照合済み</t>
        </is>
      </c>
    </row>
    <row r="11">
      <c r="A11">
        <v>3</v>
      </c>
      <c r="B11" t="str">
        <f>'都道府県_確率計算'!B22</f>
        <v>神奈川県</v>
      </c>
      <c r="C11">
        <f>'都道府県_確率計算'!C22</f>
        <v>50209</v>
      </c>
      <c r="D11" s="3">
        <f>C11/'都道府県_確率計算'!$C$57</f>
        <v>0.07479869796128148</v>
      </c>
      <c r="E11" s="3">
        <f>SUM($D$9:D11)</f>
        <v>0.2799189577731265</v>
      </c>
      <c r="F11" t="str">
        <f>"["&amp;CHAR(34)&amp;B11&amp;CHAR(34)&amp;", "&amp;TEXT(D11,"0.000000000000")&amp;", "&amp;TEXT(E11,"0.000000000000")&amp;"],"</f>
        <v>["神奈川県", 0.074798697961, 0.279918957773],</v>
      </c>
      <c r="G11">
        <v>22</v>
      </c>
      <c r="H11" t="inlineStr">
        <is>
          <t xml:space="preserve">公式原表照合済み</t>
        </is>
      </c>
    </row>
    <row r="12">
      <c r="A12">
        <v>4</v>
      </c>
      <c r="B12" t="str">
        <f>'都道府県_確率計算'!B31</f>
        <v>愛知県</v>
      </c>
      <c r="C12">
        <f>'都道府県_確率計算'!C31</f>
        <v>44290</v>
      </c>
      <c r="D12" s="3">
        <f>C12/'都道府県_確率計算'!$C$57</f>
        <v>0.0659808865483311</v>
      </c>
      <c r="E12" s="3">
        <f>SUM($D$9:D12)</f>
        <v>0.3458998443214576</v>
      </c>
      <c r="F12" t="str">
        <f>"["&amp;CHAR(34)&amp;B12&amp;CHAR(34)&amp;", "&amp;TEXT(D12,"0.000000000000")&amp;", "&amp;TEXT(E12,"0.000000000000")&amp;"],"</f>
        <v>["愛知県", 0.065980886548, 0.345899844321],</v>
      </c>
      <c r="G12">
        <v>31</v>
      </c>
      <c r="H12" t="inlineStr">
        <is>
          <t xml:space="preserve">公式原表照合済み</t>
        </is>
      </c>
    </row>
    <row r="13">
      <c r="A13">
        <v>5</v>
      </c>
      <c r="B13" t="str">
        <f>'都道府県_確率計算'!B19</f>
        <v>埼玉県</v>
      </c>
      <c r="C13">
        <f>'都道府県_確率計算'!C19</f>
        <v>38812</v>
      </c>
      <c r="D13" s="3">
        <f>C13/'都道府県_確率計算'!$C$57</f>
        <v>0.05782005348191075</v>
      </c>
      <c r="E13" s="3">
        <f>SUM($D$9:D13)</f>
        <v>0.40371989780336837</v>
      </c>
      <c r="F13" t="str">
        <f>"["&amp;CHAR(34)&amp;B13&amp;CHAR(34)&amp;", "&amp;TEXT(D13,"0.000000000000")&amp;", "&amp;TEXT(E13,"0.000000000000")&amp;"],"</f>
        <v>["埼玉県", 0.057820053482, 0.403719897803],</v>
      </c>
      <c r="G13">
        <v>19</v>
      </c>
      <c r="H13" t="inlineStr">
        <is>
          <t xml:space="preserve">公式原表照合済み</t>
        </is>
      </c>
    </row>
    <row r="14">
      <c r="A14">
        <v>6</v>
      </c>
      <c r="B14" t="str">
        <f>'都道府県_確率計算'!B20</f>
        <v>千葉県</v>
      </c>
      <c r="C14">
        <f>'都道府県_確率計算'!C20</f>
        <v>32988</v>
      </c>
      <c r="D14" s="3">
        <f>C14/'都道府県_確率計算'!$C$57</f>
        <v>0.04914376801662557</v>
      </c>
      <c r="E14" s="3">
        <f>SUM($D$9:D14)</f>
        <v>0.45286366581999393</v>
      </c>
      <c r="F14" t="str">
        <f>"["&amp;CHAR(34)&amp;B14&amp;CHAR(34)&amp;", "&amp;TEXT(D14,"0.000000000000")&amp;", "&amp;TEXT(E14,"0.000000000000")&amp;"],"</f>
        <v>["千葉県", 0.049143768017, 0.452863665820],</v>
      </c>
      <c r="G14">
        <v>20</v>
      </c>
      <c r="H14" t="inlineStr">
        <is>
          <t xml:space="preserve">公式原表照合済み</t>
        </is>
      </c>
    </row>
    <row r="15">
      <c r="A15">
        <v>7</v>
      </c>
      <c r="B15" t="str">
        <f>'都道府県_確率計算'!B48</f>
        <v>福岡県</v>
      </c>
      <c r="C15">
        <f>'都道府県_確率計算'!C48</f>
        <v>31710</v>
      </c>
      <c r="D15" s="3">
        <f>C15/'都道府県_確率計算'!$C$57</f>
        <v>0.04723987158382433</v>
      </c>
      <c r="E15" s="3">
        <f>SUM($D$9:D15)</f>
        <v>0.5001035374038183</v>
      </c>
      <c r="F15" t="str">
        <f>"["&amp;CHAR(34)&amp;B15&amp;CHAR(34)&amp;", "&amp;TEXT(D15,"0.000000000000")&amp;", "&amp;TEXT(E15,"0.000000000000")&amp;"],"</f>
        <v>["福岡県", 0.047239871584, 0.500103537404],</v>
      </c>
      <c r="G15">
        <v>48</v>
      </c>
      <c r="H15" t="inlineStr">
        <is>
          <t xml:space="preserve">公式原表照合済み</t>
        </is>
      </c>
    </row>
    <row r="16">
      <c r="A16">
        <v>8</v>
      </c>
      <c r="B16" t="str">
        <f>'都道府県_確率計算'!B36</f>
        <v>兵庫県</v>
      </c>
      <c r="C16">
        <f>'都道府県_確率計算'!C36</f>
        <v>30110</v>
      </c>
      <c r="D16" s="3">
        <f>C16/'都道府県_確率計算'!$C$57</f>
        <v>0.044856276675778954</v>
      </c>
      <c r="E16" s="3">
        <f>SUM($D$9:D16)</f>
        <v>0.5449598140795973</v>
      </c>
      <c r="F16" t="str">
        <f>"["&amp;CHAR(34)&amp;B16&amp;CHAR(34)&amp;", "&amp;TEXT(D16,"0.000000000000")&amp;", "&amp;TEXT(E16,"0.000000000000")&amp;"],"</f>
        <v>["兵庫県", 0.044856276676, 0.544959814080],</v>
      </c>
      <c r="G16">
        <v>36</v>
      </c>
      <c r="H16" t="inlineStr">
        <is>
          <t xml:space="preserve">公式原表照合済み</t>
        </is>
      </c>
    </row>
    <row r="17">
      <c r="A17">
        <v>9</v>
      </c>
      <c r="B17" t="str">
        <f>'都道府県_確率計算'!B9</f>
        <v>北海道</v>
      </c>
      <c r="C17">
        <f>'都道府県_確率計算'!C9</f>
        <v>21802</v>
      </c>
      <c r="D17" s="3">
        <f>C17/'都道府県_確率計算'!$C$57</f>
        <v>0.032479460115753325</v>
      </c>
      <c r="E17" s="3">
        <f>SUM($D$9:D17)</f>
        <v>0.5774392741953506</v>
      </c>
      <c r="F17" t="str">
        <f>"["&amp;CHAR(34)&amp;B17&amp;CHAR(34)&amp;", "&amp;TEXT(D17,"0.000000000000")&amp;", "&amp;TEXT(E17,"0.000000000000")&amp;"],"</f>
        <v>["北海道", 0.032479460116, 0.577439274195],</v>
      </c>
      <c r="G17">
        <v>9</v>
      </c>
      <c r="H17" t="inlineStr">
        <is>
          <t xml:space="preserve">公式原表照合済み</t>
        </is>
      </c>
    </row>
    <row r="18">
      <c r="A18">
        <v>10</v>
      </c>
      <c r="B18" t="str">
        <f>'都道府県_確率計算'!B30</f>
        <v>静岡県</v>
      </c>
      <c r="C18">
        <f>'都道府県_確率計算'!C30</f>
        <v>17092</v>
      </c>
      <c r="D18" s="3">
        <f>C18/'都道府県_確率計算'!$C$57</f>
        <v>0.025462752605194747</v>
      </c>
      <c r="E18" s="3">
        <f>SUM($D$9:D18)</f>
        <v>0.6029020268005453</v>
      </c>
      <c r="F18" t="str">
        <f>"["&amp;CHAR(34)&amp;B18&amp;CHAR(34)&amp;", "&amp;TEXT(D18,"0.000000000000")&amp;", "&amp;TEXT(E18,"0.000000000000")&amp;"],"</f>
        <v>["静岡県", 0.025462752605, 0.602902026801],</v>
      </c>
      <c r="G18">
        <v>30</v>
      </c>
      <c r="H18" t="inlineStr">
        <is>
          <t xml:space="preserve">公式原表照合済み</t>
        </is>
      </c>
    </row>
    <row r="19">
      <c r="A19">
        <v>11</v>
      </c>
      <c r="B19" t="str">
        <f>'都道府県_確率計算'!B42</f>
        <v>広島県</v>
      </c>
      <c r="C19">
        <f>'都道府県_確率計算'!C42</f>
        <v>15238</v>
      </c>
      <c r="D19" s="3">
        <f>C19/'都道府県_確率計算'!$C$57</f>
        <v>0.022700762005497165</v>
      </c>
      <c r="E19" s="3">
        <f>SUM($D$9:D19)</f>
        <v>0.6256027888060425</v>
      </c>
      <c r="F19" t="str">
        <f>"["&amp;CHAR(34)&amp;B19&amp;CHAR(34)&amp;", "&amp;TEXT(D19,"0.000000000000")&amp;", "&amp;TEXT(E19,"0.000000000000")&amp;"],"</f>
        <v>["広島県", 0.022700762005, 0.625602788806],</v>
      </c>
      <c r="G19">
        <v>42</v>
      </c>
      <c r="H19" t="inlineStr">
        <is>
          <t xml:space="preserve">公式原表照合済み</t>
        </is>
      </c>
    </row>
    <row r="20">
      <c r="A20">
        <v>12</v>
      </c>
      <c r="B20" t="str">
        <f>'都道府県_確率計算'!B16</f>
        <v>茨城県</v>
      </c>
      <c r="C20">
        <f>'都道府県_確率計算'!C16</f>
        <v>13409</v>
      </c>
      <c r="D20" s="3">
        <f>C20/'都道府県_確率計算'!$C$57</f>
        <v>0.019976015076237794</v>
      </c>
      <c r="E20" s="3">
        <f>SUM($D$9:D20)</f>
        <v>0.6455788038822803</v>
      </c>
      <c r="F20" t="str">
        <f>"["&amp;CHAR(34)&amp;B20&amp;CHAR(34)&amp;", "&amp;TEXT(D20,"0.000000000000")&amp;", "&amp;TEXT(E20,"0.000000000000")&amp;"],"</f>
        <v>["茨城県", 0.019976015076, 0.645578803882],</v>
      </c>
      <c r="G20">
        <v>16</v>
      </c>
      <c r="H20" t="inlineStr">
        <is>
          <t xml:space="preserve">公式原表照合済み</t>
        </is>
      </c>
    </row>
    <row r="21">
      <c r="A21">
        <v>13</v>
      </c>
      <c r="B21" t="str">
        <f>'都道府県_確率計算'!B34</f>
        <v>京都府</v>
      </c>
      <c r="C21">
        <f>'都道府県_確率計算'!C34</f>
        <v>12677</v>
      </c>
      <c r="D21" s="3">
        <f>C21/'都道府県_確率計算'!$C$57</f>
        <v>0.018885520405807033</v>
      </c>
      <c r="E21" s="3">
        <f>SUM($D$9:D21)</f>
        <v>0.6644643242880873</v>
      </c>
      <c r="F21" t="str">
        <f>"["&amp;CHAR(34)&amp;B21&amp;CHAR(34)&amp;", "&amp;TEXT(D21,"0.000000000000")&amp;", "&amp;TEXT(E21,"0.000000000000")&amp;"],"</f>
        <v>["京都府", 0.018885520406, 0.664464324288],</v>
      </c>
      <c r="G21">
        <v>34</v>
      </c>
      <c r="H21" t="inlineStr">
        <is>
          <t xml:space="preserve">公式原表照合済み</t>
        </is>
      </c>
    </row>
    <row r="22">
      <c r="A22">
        <v>14</v>
      </c>
      <c r="B22" t="str">
        <f>'都道府県_確率計算'!B55</f>
        <v>沖縄県</v>
      </c>
      <c r="C22">
        <f>'都道府県_確率計算'!C55</f>
        <v>11511</v>
      </c>
      <c r="D22" s="3">
        <f>C22/'都道府県_確率計算'!$C$57</f>
        <v>0.017148475616568962</v>
      </c>
      <c r="E22" s="3">
        <f>SUM($D$9:D22)</f>
        <v>0.6816127999046563</v>
      </c>
      <c r="F22" t="str">
        <f>"["&amp;CHAR(34)&amp;B22&amp;CHAR(34)&amp;", "&amp;TEXT(D22,"0.000000000000")&amp;", "&amp;TEXT(E22,"0.000000000000")&amp;"],"</f>
        <v>["沖縄県", 0.017148475617, 0.681612799905],</v>
      </c>
      <c r="G22">
        <v>55</v>
      </c>
      <c r="H22" t="inlineStr">
        <is>
          <t xml:space="preserve">公式原表照合済み</t>
        </is>
      </c>
    </row>
    <row r="23">
      <c r="A23">
        <v>15</v>
      </c>
      <c r="B23" t="str">
        <f>'都道府県_確率計算'!B12</f>
        <v>宮城県</v>
      </c>
      <c r="C23">
        <f>'都道府県_確率計算'!C12</f>
        <v>11079</v>
      </c>
      <c r="D23" s="3">
        <f>C23/'都道府県_確率計算'!$C$57</f>
        <v>0.016504904991396712</v>
      </c>
      <c r="E23" s="3">
        <f>SUM($D$9:D23)</f>
        <v>0.698117704896053</v>
      </c>
      <c r="F23" t="str">
        <f>"["&amp;CHAR(34)&amp;B23&amp;CHAR(34)&amp;", "&amp;TEXT(D23,"0.000000000000")&amp;", "&amp;TEXT(E23,"0.000000000000")&amp;"],"</f>
        <v>["宮城県", 0.016504904991, 0.698117704896],</v>
      </c>
      <c r="G23">
        <v>12</v>
      </c>
      <c r="H23" t="inlineStr">
        <is>
          <t xml:space="preserve">公式原表照合済み</t>
        </is>
      </c>
    </row>
    <row r="24">
      <c r="A24">
        <v>16</v>
      </c>
      <c r="B24" t="str">
        <f>'都道府県_確率計算'!B41</f>
        <v>岡山県</v>
      </c>
      <c r="C24">
        <f>'都道府県_確率計算'!C41</f>
        <v>10426</v>
      </c>
      <c r="D24" s="3">
        <f>C24/'都道府県_確率計算'!$C$57</f>
        <v>0.015532100319550692</v>
      </c>
      <c r="E24" s="3">
        <f>SUM($D$9:D24)</f>
        <v>0.7136498052156036</v>
      </c>
      <c r="F24" t="str">
        <f>"["&amp;CHAR(34)&amp;B24&amp;CHAR(34)&amp;", "&amp;TEXT(D24,"0.000000000000")&amp;", "&amp;TEXT(E24,"0.000000000000")&amp;"],"</f>
        <v>["岡山県", 0.015532100320, 0.713649805216],</v>
      </c>
      <c r="G24">
        <v>41</v>
      </c>
      <c r="H24" t="inlineStr">
        <is>
          <t xml:space="preserve">公式原表照合済み</t>
        </is>
      </c>
    </row>
    <row r="25">
      <c r="A25">
        <v>17</v>
      </c>
      <c r="B25" t="str">
        <f>'都道府県_確率計算'!B51</f>
        <v>熊本県</v>
      </c>
      <c r="C25">
        <f>'都道府県_確率計算'!C51</f>
        <v>10193</v>
      </c>
      <c r="D25" s="3">
        <f>C25/'都道府県_確率計算'!$C$57</f>
        <v>0.015184989311066583</v>
      </c>
      <c r="E25" s="3">
        <f>SUM($D$9:D25)</f>
        <v>0.7288347945266702</v>
      </c>
      <c r="F25" t="str">
        <f>"["&amp;CHAR(34)&amp;B25&amp;CHAR(34)&amp;", "&amp;TEXT(D25,"0.000000000000")&amp;", "&amp;TEXT(E25,"0.000000000000")&amp;"],"</f>
        <v>["熊本県", 0.015184989311, 0.728834794527],</v>
      </c>
      <c r="G25">
        <v>51</v>
      </c>
      <c r="H25" t="inlineStr">
        <is>
          <t xml:space="preserve">公式原表照合済み</t>
        </is>
      </c>
    </row>
    <row r="26">
      <c r="A26">
        <v>18</v>
      </c>
      <c r="B26" t="str">
        <f>'都道府県_確率計算'!B28</f>
        <v>長野県</v>
      </c>
      <c r="C26">
        <f>'都道府県_確率計算'!C28</f>
        <v>9875</v>
      </c>
      <c r="D26" s="3">
        <f>C26/'都道府県_確率計算'!$C$57</f>
        <v>0.014711249823092565</v>
      </c>
      <c r="E26" s="3">
        <f>SUM($D$9:D26)</f>
        <v>0.7435460443497628</v>
      </c>
      <c r="F26" t="str">
        <f>"["&amp;CHAR(34)&amp;B26&amp;CHAR(34)&amp;", "&amp;TEXT(D26,"0.000000000000")&amp;", "&amp;TEXT(E26,"0.000000000000")&amp;"],"</f>
        <v>["長野県", 0.014711249823, 0.743546044350],</v>
      </c>
      <c r="G26">
        <v>28</v>
      </c>
      <c r="H26" t="inlineStr">
        <is>
          <t xml:space="preserve">公式原表照合済み</t>
        </is>
      </c>
    </row>
    <row r="27">
      <c r="A27">
        <v>19</v>
      </c>
      <c r="B27" t="str">
        <f>'都道府県_確率計算'!B23</f>
        <v>新潟県</v>
      </c>
      <c r="C27">
        <f>'都道府県_確率計算'!C23</f>
        <v>9580</v>
      </c>
      <c r="D27" s="3">
        <f>C27/'都道府県_確率計算'!$C$57</f>
        <v>0.014271774511921699</v>
      </c>
      <c r="E27" s="3">
        <f>SUM($D$9:D27)</f>
        <v>0.7578178188616845</v>
      </c>
      <c r="F27" t="str">
        <f>"["&amp;CHAR(34)&amp;B27&amp;CHAR(34)&amp;", "&amp;TEXT(D27,"0.000000000000")&amp;", "&amp;TEXT(E27,"0.000000000000")&amp;"],"</f>
        <v>["新潟県", 0.014271774512, 0.757817818862],</v>
      </c>
      <c r="G27">
        <v>23</v>
      </c>
      <c r="H27" t="inlineStr">
        <is>
          <t xml:space="preserve">公式原表照合済み</t>
        </is>
      </c>
    </row>
    <row r="28">
      <c r="A28">
        <v>20</v>
      </c>
      <c r="B28" t="str">
        <f>'都道府県_確率計算'!B29</f>
        <v>岐阜県</v>
      </c>
      <c r="C28">
        <f>'都道府県_確率計算'!C29</f>
        <v>9351</v>
      </c>
      <c r="D28" s="3">
        <f>C28/'都道府県_確率計算'!$C$57</f>
        <v>0.013930622490707704</v>
      </c>
      <c r="E28" s="3">
        <f>SUM($D$9:D28)</f>
        <v>0.7717484413523923</v>
      </c>
      <c r="F28" t="str">
        <f>"["&amp;CHAR(34)&amp;B28&amp;CHAR(34)&amp;", "&amp;TEXT(D28,"0.000000000000")&amp;", "&amp;TEXT(E28,"0.000000000000")&amp;"],"</f>
        <v>["岐阜県", 0.013930622491, 0.771748441352],</v>
      </c>
      <c r="G28">
        <v>29</v>
      </c>
      <c r="H28" t="inlineStr">
        <is>
          <t xml:space="preserve">公式原表照合済み</t>
        </is>
      </c>
    </row>
    <row r="29">
      <c r="A29">
        <v>21</v>
      </c>
      <c r="B29" t="str">
        <f>'都道府県_確率計算'!B18</f>
        <v>群馬県</v>
      </c>
      <c r="C29">
        <f>'都道府県_確率計算'!C18</f>
        <v>8950</v>
      </c>
      <c r="D29" s="3">
        <f>C29/'都道府県_確率計算'!$C$57</f>
        <v>0.013333234016878831</v>
      </c>
      <c r="E29" s="3">
        <f>SUM($D$9:D29)</f>
        <v>0.7850816753692711</v>
      </c>
      <c r="F29" t="str">
        <f>"["&amp;CHAR(34)&amp;B29&amp;CHAR(34)&amp;", "&amp;TEXT(D29,"0.000000000000")&amp;", "&amp;TEXT(E29,"0.000000000000")&amp;"],"</f>
        <v>["群馬県", 0.013333234017, 0.785081675369],</v>
      </c>
      <c r="G29">
        <v>18</v>
      </c>
      <c r="H29" t="inlineStr">
        <is>
          <t xml:space="preserve">公式原表照合済み</t>
        </is>
      </c>
    </row>
    <row r="30">
      <c r="A30">
        <v>22</v>
      </c>
      <c r="B30" t="str">
        <f>'都道府県_確率計算'!B17</f>
        <v>栃木県</v>
      </c>
      <c r="C30">
        <f>'都道府県_確率計算'!C17</f>
        <v>8932</v>
      </c>
      <c r="D30" s="3">
        <f>C30/'都道府県_確率計算'!$C$57</f>
        <v>0.013306418574163321</v>
      </c>
      <c r="E30" s="3">
        <f>SUM($D$9:D30)</f>
        <v>0.7983880939434345</v>
      </c>
      <c r="F30" t="str">
        <f>"["&amp;CHAR(34)&amp;B30&amp;CHAR(34)&amp;", "&amp;TEXT(D30,"0.000000000000")&amp;", "&amp;TEXT(E30,"0.000000000000")&amp;"],"</f>
        <v>["栃木県", 0.013306418574, 0.798388093943],</v>
      </c>
      <c r="G30">
        <v>17</v>
      </c>
      <c r="H30" t="inlineStr">
        <is>
          <t xml:space="preserve">公式原表照合済み</t>
        </is>
      </c>
    </row>
    <row r="31">
      <c r="A31">
        <v>23</v>
      </c>
      <c r="B31" t="str">
        <f>'都道府県_確率計算'!B32</f>
        <v>三重県</v>
      </c>
      <c r="C31">
        <f>'都道府県_確率計算'!C32</f>
        <v>8792</v>
      </c>
      <c r="D31" s="3">
        <f>C31/'都道府県_確率計算'!$C$57</f>
        <v>0.013097854019709351</v>
      </c>
      <c r="E31" s="3">
        <f>SUM($D$9:D31)</f>
        <v>0.8114859479631438</v>
      </c>
      <c r="F31" t="str">
        <f>"["&amp;CHAR(34)&amp;B31&amp;CHAR(34)&amp;", "&amp;TEXT(D31,"0.000000000000")&amp;", "&amp;TEXT(E31,"0.000000000000")&amp;"],"</f>
        <v>["三重県", 0.013097854020, 0.811485947963],</v>
      </c>
      <c r="G31">
        <v>32</v>
      </c>
      <c r="H31" t="inlineStr">
        <is>
          <t xml:space="preserve">公式原表照合済み</t>
        </is>
      </c>
    </row>
    <row r="32">
      <c r="A32">
        <v>24</v>
      </c>
      <c r="B32" t="str">
        <f>'都道府県_確率計算'!B33</f>
        <v>滋賀県</v>
      </c>
      <c r="C32">
        <f>'都道府県_確率計算'!C33</f>
        <v>8708</v>
      </c>
      <c r="D32" s="3">
        <f>C32/'都道府県_確率計算'!$C$57</f>
        <v>0.012972715287036968</v>
      </c>
      <c r="E32" s="3">
        <f>SUM($D$9:D32)</f>
        <v>0.8244586632501807</v>
      </c>
      <c r="F32" t="str">
        <f>"["&amp;CHAR(34)&amp;B32&amp;CHAR(34)&amp;", "&amp;TEXT(D32,"0.000000000000")&amp;", "&amp;TEXT(E32,"0.000000000000")&amp;"],"</f>
        <v>["滋賀県", 0.012972715287, 0.824458663250],</v>
      </c>
      <c r="G32">
        <v>33</v>
      </c>
      <c r="H32" t="inlineStr">
        <is>
          <t xml:space="preserve">公式原表照合済み</t>
        </is>
      </c>
    </row>
    <row r="33">
      <c r="A33">
        <v>25</v>
      </c>
      <c r="B33" t="str">
        <f>'都道府県_確率計算'!B54</f>
        <v>鹿児島県</v>
      </c>
      <c r="C33">
        <f>'都道府県_確率計算'!C54</f>
        <v>8661</v>
      </c>
      <c r="D33" s="3">
        <f>C33/'都道府県_確率計算'!$C$57</f>
        <v>0.012902697186613136</v>
      </c>
      <c r="E33" s="3">
        <f>SUM($D$9:D33)</f>
        <v>0.8373613604367939</v>
      </c>
      <c r="F33" t="str">
        <f>"["&amp;CHAR(34)&amp;B33&amp;CHAR(34)&amp;", "&amp;TEXT(D33,"0.000000000000")&amp;", "&amp;TEXT(E33,"0.000000000000")&amp;"],"</f>
        <v>["鹿児島県", 0.012902697187, 0.837361360437],</v>
      </c>
      <c r="G33">
        <v>54</v>
      </c>
      <c r="H33" t="inlineStr">
        <is>
          <t xml:space="preserve">公式原表照合済み</t>
        </is>
      </c>
    </row>
    <row r="34">
      <c r="A34">
        <v>26</v>
      </c>
      <c r="B34" t="str">
        <f>'都道府県_確率計算'!B15</f>
        <v>福島県</v>
      </c>
      <c r="C34">
        <f>'都道府県_確率計算'!C15</f>
        <v>7842</v>
      </c>
      <c r="D34" s="3">
        <f>C34/'都道府県_確率計算'!$C$57</f>
        <v>0.011682594543057407</v>
      </c>
      <c r="E34" s="3">
        <f>SUM($D$9:D34)</f>
        <v>0.8490439549798513</v>
      </c>
      <c r="F34" t="str">
        <f>"["&amp;CHAR(34)&amp;B34&amp;CHAR(34)&amp;", "&amp;TEXT(D34,"0.000000000000")&amp;", "&amp;TEXT(E34,"0.000000000000")&amp;"],"</f>
        <v>["福島県", 0.011682594543, 0.849043954980],</v>
      </c>
      <c r="G34">
        <v>15</v>
      </c>
      <c r="H34" t="inlineStr">
        <is>
          <t xml:space="preserve">公式原表照合済み</t>
        </is>
      </c>
    </row>
    <row r="35">
      <c r="A35">
        <v>27</v>
      </c>
      <c r="B35" t="str">
        <f>'都道府県_確率計算'!B50</f>
        <v>長崎県</v>
      </c>
      <c r="C35">
        <f>'都道府県_確率計算'!C50</f>
        <v>6846</v>
      </c>
      <c r="D35" s="3">
        <f>C35/'都道府県_確率計算'!$C$57</f>
        <v>0.01019880671279916</v>
      </c>
      <c r="E35" s="3">
        <f>SUM($D$9:D35)</f>
        <v>0.8592427616926505</v>
      </c>
      <c r="F35" t="str">
        <f>"["&amp;CHAR(34)&amp;B35&amp;CHAR(34)&amp;", "&amp;TEXT(D35,"0.000000000000")&amp;", "&amp;TEXT(E35,"0.000000000000")&amp;"],"</f>
        <v>["長崎県", 0.010198806713, 0.859242761693],</v>
      </c>
      <c r="G35">
        <v>50</v>
      </c>
      <c r="H35" t="inlineStr">
        <is>
          <t xml:space="preserve">公式原表照合済み</t>
        </is>
      </c>
    </row>
    <row r="36">
      <c r="A36">
        <v>28</v>
      </c>
      <c r="B36" t="str">
        <f>'都道府県_確率計算'!B46</f>
        <v>愛媛県</v>
      </c>
      <c r="C36">
        <f>'都道府県_確率計算'!C46</f>
        <v>6422</v>
      </c>
      <c r="D36" s="3">
        <f>C36/'都道府県_確率計算'!$C$57</f>
        <v>0.009567154062167134</v>
      </c>
      <c r="E36" s="3">
        <f>SUM($D$9:D36)</f>
        <v>0.8688099157548176</v>
      </c>
      <c r="F36" t="str">
        <f>"["&amp;CHAR(34)&amp;B36&amp;CHAR(34)&amp;", "&amp;TEXT(D36,"0.000000000000")&amp;", "&amp;TEXT(E36,"0.000000000000")&amp;"],"</f>
        <v>["愛媛県", 0.009567154062, 0.868809915755],</v>
      </c>
      <c r="G36">
        <v>46</v>
      </c>
      <c r="H36" t="inlineStr">
        <is>
          <t xml:space="preserve">公式原表照合済み</t>
        </is>
      </c>
    </row>
    <row r="37">
      <c r="A37">
        <v>29</v>
      </c>
      <c r="B37" t="str">
        <f>'都道府県_確率計算'!B37</f>
        <v>奈良県</v>
      </c>
      <c r="C37">
        <f>'都道府県_確率計算'!C37</f>
        <v>6409</v>
      </c>
      <c r="D37" s="3">
        <f>C37/'都道府県_確率計算'!$C$57</f>
        <v>0.009547787353539266</v>
      </c>
      <c r="E37" s="3">
        <f>SUM($D$9:D37)</f>
        <v>0.8783577031083568</v>
      </c>
      <c r="F37" t="str">
        <f>"["&amp;CHAR(34)&amp;B37&amp;CHAR(34)&amp;", "&amp;TEXT(D37,"0.000000000000")&amp;", "&amp;TEXT(E37,"0.000000000000")&amp;"],"</f>
        <v>["奈良県", 0.009547787354, 0.878357703108],</v>
      </c>
      <c r="G37">
        <v>37</v>
      </c>
      <c r="H37" t="inlineStr">
        <is>
          <t xml:space="preserve">公式原表照合済み</t>
        </is>
      </c>
    </row>
    <row r="38">
      <c r="A38">
        <v>30</v>
      </c>
      <c r="B38" t="str">
        <f>'都道府県_確率計算'!B43</f>
        <v>山口県</v>
      </c>
      <c r="C38">
        <f>'都道府県_確率計算'!C43</f>
        <v>6401</v>
      </c>
      <c r="D38" s="3">
        <f>C38/'都道府県_確率計算'!$C$57</f>
        <v>0.00953586937899904</v>
      </c>
      <c r="E38" s="3">
        <f>SUM($D$9:D38)</f>
        <v>0.8878935724873559</v>
      </c>
      <c r="F38" t="str">
        <f>"["&amp;CHAR(34)&amp;B38&amp;CHAR(34)&amp;", "&amp;TEXT(D38,"0.000000000000")&amp;", "&amp;TEXT(E38,"0.000000000000")&amp;"],"</f>
        <v>["山口県", 0.009535869379, 0.887893572487],</v>
      </c>
      <c r="G38">
        <v>43</v>
      </c>
      <c r="H38" t="inlineStr">
        <is>
          <t xml:space="preserve">公式原表照合済み</t>
        </is>
      </c>
    </row>
    <row r="39">
      <c r="A39">
        <v>31</v>
      </c>
      <c r="B39" t="str">
        <f>'都道府県_確率計算'!B25</f>
        <v>石川県</v>
      </c>
      <c r="C39">
        <f>'都道府県_確率計算'!C25</f>
        <v>6242</v>
      </c>
      <c r="D39" s="3">
        <f>C39/'都道府県_確率計算'!$C$57</f>
        <v>0.00929899963501203</v>
      </c>
      <c r="E39" s="3">
        <f>SUM($D$9:D39)</f>
        <v>0.8971925721223679</v>
      </c>
      <c r="F39" t="str">
        <f>"["&amp;CHAR(34)&amp;B39&amp;CHAR(34)&amp;", "&amp;TEXT(D39,"0.000000000000")&amp;", "&amp;TEXT(E39,"0.000000000000")&amp;"],"</f>
        <v>["石川県", 0.009298999635, 0.897192572122],</v>
      </c>
      <c r="G39">
        <v>25</v>
      </c>
      <c r="H39" t="inlineStr">
        <is>
          <t xml:space="preserve">公式原表照合済み</t>
        </is>
      </c>
    </row>
    <row r="40">
      <c r="A40">
        <v>32</v>
      </c>
      <c r="B40" t="str">
        <f>'都道府県_確率計算'!B53</f>
        <v>宮崎県</v>
      </c>
      <c r="C40">
        <f>'都道府県_確率計算'!C53</f>
        <v>5923</v>
      </c>
      <c r="D40" s="3">
        <f>C40/'都道府県_確率計算'!$C$57</f>
        <v>0.008823770400220483</v>
      </c>
      <c r="E40" s="3">
        <f>SUM($D$9:D40)</f>
        <v>0.9060163425225884</v>
      </c>
      <c r="F40" t="str">
        <f>"["&amp;CHAR(34)&amp;B40&amp;CHAR(34)&amp;", "&amp;TEXT(D40,"0.000000000000")&amp;", "&amp;TEXT(E40,"0.000000000000")&amp;"],"</f>
        <v>["宮崎県", 0.008823770400, 0.906016342523],</v>
      </c>
      <c r="G40">
        <v>53</v>
      </c>
      <c r="H40" t="inlineStr">
        <is>
          <t xml:space="preserve">公式原表照合済み</t>
        </is>
      </c>
    </row>
    <row r="41">
      <c r="A41">
        <v>33</v>
      </c>
      <c r="B41" t="str">
        <f>'都道府県_確率計算'!B52</f>
        <v>大分県</v>
      </c>
      <c r="C41">
        <f>'都道府県_確率計算'!C52</f>
        <v>5666</v>
      </c>
      <c r="D41" s="3">
        <f>C41/'都道府県_確率計算'!$C$57</f>
        <v>0.008440905468115694</v>
      </c>
      <c r="E41" s="3">
        <f>SUM($D$9:D41)</f>
        <v>0.9144572479907042</v>
      </c>
      <c r="F41" t="str">
        <f>"["&amp;CHAR(34)&amp;B41&amp;CHAR(34)&amp;", "&amp;TEXT(D41,"0.000000000000")&amp;", "&amp;TEXT(E41,"0.000000000000")&amp;"],"</f>
        <v>["大分県", 0.008440905468, 0.914457247991],</v>
      </c>
      <c r="G41">
        <v>52</v>
      </c>
      <c r="H41" t="inlineStr">
        <is>
          <t xml:space="preserve">公式原表照合済み</t>
        </is>
      </c>
    </row>
    <row r="42">
      <c r="A42">
        <v>34</v>
      </c>
      <c r="B42" t="str">
        <f>'都道府県_確率計算'!B24</f>
        <v>富山県</v>
      </c>
      <c r="C42">
        <f>'都道府県_確率計算'!C24</f>
        <v>5125</v>
      </c>
      <c r="D42" s="3">
        <f>C42/'都道府県_確率計算'!$C$57</f>
        <v>0.00763495243983285</v>
      </c>
      <c r="E42" s="3">
        <f>SUM($D$9:D42)</f>
        <v>0.922092200430537</v>
      </c>
      <c r="F42" t="str">
        <f>"["&amp;CHAR(34)&amp;B42&amp;CHAR(34)&amp;", "&amp;TEXT(D42,"0.000000000000")&amp;", "&amp;TEXT(E42,"0.000000000000")&amp;"],"</f>
        <v>["富山県", 0.007634952440, 0.922092200431],</v>
      </c>
      <c r="G42">
        <v>24</v>
      </c>
      <c r="H42" t="inlineStr">
        <is>
          <t xml:space="preserve">公式原表照合済み</t>
        </is>
      </c>
    </row>
    <row r="43">
      <c r="A43">
        <v>35</v>
      </c>
      <c r="B43" t="str">
        <f>'都道府県_確率計算'!B45</f>
        <v>香川県</v>
      </c>
      <c r="C43">
        <f>'都道府県_確率計算'!C45</f>
        <v>5103</v>
      </c>
      <c r="D43" s="3">
        <f>C43/'都道府県_確率計算'!$C$57</f>
        <v>0.007602178009847227</v>
      </c>
      <c r="E43" s="3">
        <f>SUM($D$9:D43)</f>
        <v>0.9296943784403842</v>
      </c>
      <c r="F43" t="str">
        <f>"["&amp;CHAR(34)&amp;B43&amp;CHAR(34)&amp;", "&amp;TEXT(D43,"0.000000000000")&amp;", "&amp;TEXT(E43,"0.000000000000")&amp;"],"</f>
        <v>["香川県", 0.007602178010, 0.929694378440],</v>
      </c>
      <c r="G43">
        <v>45</v>
      </c>
      <c r="H43" t="inlineStr">
        <is>
          <t xml:space="preserve">公式原表照合済み</t>
        </is>
      </c>
    </row>
    <row r="44">
      <c r="A44">
        <v>36</v>
      </c>
      <c r="B44" t="str">
        <f>'都道府県_確率計算'!B11</f>
        <v>岩手県</v>
      </c>
      <c r="C44">
        <f>'都道府県_確率計算'!C11</f>
        <v>4823</v>
      </c>
      <c r="D44" s="3">
        <f>C44/'都道府県_確率計算'!$C$57</f>
        <v>0.007185048900939285</v>
      </c>
      <c r="E44" s="3">
        <f>SUM($D$9:D44)</f>
        <v>0.9368794273413235</v>
      </c>
      <c r="F44" t="str">
        <f>"["&amp;CHAR(34)&amp;B44&amp;CHAR(34)&amp;", "&amp;TEXT(D44,"0.000000000000")&amp;", "&amp;TEXT(E44,"0.000000000000")&amp;"],"</f>
        <v>["岩手県", 0.007185048901, 0.936879427341],</v>
      </c>
      <c r="G44">
        <v>11</v>
      </c>
      <c r="H44" t="inlineStr">
        <is>
          <t xml:space="preserve">公式原表照合済み</t>
        </is>
      </c>
    </row>
    <row r="45">
      <c r="A45">
        <v>37</v>
      </c>
      <c r="B45" t="str">
        <f>'都道府県_確率計算'!B10</f>
        <v>青森県</v>
      </c>
      <c r="C45">
        <f>'都道府県_確率計算'!C10</f>
        <v>4737</v>
      </c>
      <c r="D45" s="3">
        <f>C45/'都道府県_確率計算'!$C$57</f>
        <v>0.007056930674631846</v>
      </c>
      <c r="E45" s="3">
        <f>SUM($D$9:D45)</f>
        <v>0.9439363580159553</v>
      </c>
      <c r="F45" t="str">
        <f>"["&amp;CHAR(34)&amp;B45&amp;CHAR(34)&amp;", "&amp;TEXT(D45,"0.000000000000")&amp;", "&amp;TEXT(E45,"0.000000000000")&amp;"],"</f>
        <v>["青森県", 0.007056930675, 0.943936358016],</v>
      </c>
      <c r="G45">
        <v>10</v>
      </c>
      <c r="H45" t="inlineStr">
        <is>
          <t xml:space="preserve">公式原表照合済み</t>
        </is>
      </c>
    </row>
    <row r="46">
      <c r="A46">
        <v>38</v>
      </c>
      <c r="B46" t="str">
        <f>'都道府県_確率計算'!B49</f>
        <v>佐賀県</v>
      </c>
      <c r="C46">
        <f>'都道府県_確率計算'!C49</f>
        <v>4611</v>
      </c>
      <c r="D46" s="3">
        <f>C46/'都道府県_確率計算'!$C$57</f>
        <v>0.0068692225756232725</v>
      </c>
      <c r="E46" s="3">
        <f>SUM($D$9:D46)</f>
        <v>0.9508055805915786</v>
      </c>
      <c r="F46" t="str">
        <f>"["&amp;CHAR(34)&amp;B46&amp;CHAR(34)&amp;", "&amp;TEXT(D46,"0.000000000000")&amp;", "&amp;TEXT(E46,"0.000000000000")&amp;"],"</f>
        <v>["佐賀県", 0.006869222576, 0.950805580592],</v>
      </c>
      <c r="G46">
        <v>49</v>
      </c>
      <c r="H46" t="inlineStr">
        <is>
          <t xml:space="preserve">公式原表照合済み</t>
        </is>
      </c>
    </row>
    <row r="47">
      <c r="A47">
        <v>39</v>
      </c>
      <c r="B47" t="str">
        <f>'都道府県_確率計算'!B14</f>
        <v>山形県</v>
      </c>
      <c r="C47">
        <f>'都道府県_確率計算'!C14</f>
        <v>4380</v>
      </c>
      <c r="D47" s="3">
        <f>C47/'都道府県_確率計算'!$C$57</f>
        <v>0.006525091060774222</v>
      </c>
      <c r="E47" s="3">
        <f>SUM($D$9:D47)</f>
        <v>0.9573306716523529</v>
      </c>
      <c r="F47" t="str">
        <f>"["&amp;CHAR(34)&amp;B47&amp;CHAR(34)&amp;", "&amp;TEXT(D47,"0.000000000000")&amp;", "&amp;TEXT(E47,"0.000000000000")&amp;"],"</f>
        <v>["山形県", 0.006525091061, 0.957330671652],</v>
      </c>
      <c r="G47">
        <v>14</v>
      </c>
      <c r="H47" t="inlineStr">
        <is>
          <t xml:space="preserve">公式原表照合済み</t>
        </is>
      </c>
    </row>
    <row r="48">
      <c r="A48">
        <v>40</v>
      </c>
      <c r="B48" t="str">
        <f>'都道府県_確率計算'!B26</f>
        <v>福井県</v>
      </c>
      <c r="C48">
        <f>'都道府県_確率計算'!C26</f>
        <v>4314</v>
      </c>
      <c r="D48" s="3">
        <f>C48/'都道府県_確率計算'!$C$57</f>
        <v>0.00642676777081735</v>
      </c>
      <c r="E48" s="3">
        <f>SUM($D$9:D48)</f>
        <v>0.9637574394231702</v>
      </c>
      <c r="F48" t="str">
        <f>"["&amp;CHAR(34)&amp;B48&amp;CHAR(34)&amp;", "&amp;TEXT(D48,"0.000000000000")&amp;", "&amp;TEXT(E48,"0.000000000000")&amp;"],"</f>
        <v>["福井県", 0.006426767771, 0.963757439423],</v>
      </c>
      <c r="G48">
        <v>26</v>
      </c>
      <c r="H48" t="inlineStr">
        <is>
          <t xml:space="preserve">公式原表照合済み</t>
        </is>
      </c>
    </row>
    <row r="49">
      <c r="A49">
        <v>41</v>
      </c>
      <c r="B49" t="str">
        <f>'都道府県_確率計算'!B38</f>
        <v>和歌山県</v>
      </c>
      <c r="C49">
        <f>'都道府県_確率計算'!C38</f>
        <v>4246</v>
      </c>
      <c r="D49" s="3">
        <f>C49/'都道府県_確率計算'!$C$57</f>
        <v>0.0063254649872254215</v>
      </c>
      <c r="E49" s="3">
        <f>SUM($D$9:D49)</f>
        <v>0.9700829044103956</v>
      </c>
      <c r="F49" t="str">
        <f>"["&amp;CHAR(34)&amp;B49&amp;CHAR(34)&amp;", "&amp;TEXT(D49,"0.000000000000")&amp;", "&amp;TEXT(E49,"0.000000000000")&amp;"],"</f>
        <v>["和歌山県", 0.006325464987, 0.970082904410],</v>
      </c>
      <c r="G49">
        <v>38</v>
      </c>
      <c r="H49" t="inlineStr">
        <is>
          <t xml:space="preserve">公式原表照合済み</t>
        </is>
      </c>
    </row>
    <row r="50">
      <c r="A50">
        <v>42</v>
      </c>
      <c r="B50" t="str">
        <f>'都道府県_確率計算'!B27</f>
        <v>山梨県</v>
      </c>
      <c r="C50">
        <f>'都道府県_確率計算'!C27</f>
        <v>4016</v>
      </c>
      <c r="D50" s="3">
        <f>C50/'都道府県_確率計算'!$C$57</f>
        <v>0.005982823219193898</v>
      </c>
      <c r="E50" s="3">
        <f>SUM($D$9:D50)</f>
        <v>0.9760657276295894</v>
      </c>
      <c r="F50" t="str">
        <f>"["&amp;CHAR(34)&amp;B50&amp;CHAR(34)&amp;", "&amp;TEXT(D50,"0.000000000000")&amp;", "&amp;TEXT(E50,"0.000000000000")&amp;"],"</f>
        <v>["山梨県", 0.005982823219, 0.976065727630],</v>
      </c>
      <c r="G50">
        <v>27</v>
      </c>
      <c r="H50" t="inlineStr">
        <is>
          <t xml:space="preserve">公式原表照合済み</t>
        </is>
      </c>
    </row>
    <row r="51">
      <c r="A51">
        <v>43</v>
      </c>
      <c r="B51" t="str">
        <f>'都道府県_確率計算'!B44</f>
        <v>徳島県</v>
      </c>
      <c r="C51">
        <f>'都道府県_確率計算'!C44</f>
        <v>3527</v>
      </c>
      <c r="D51" s="3">
        <f>C51/'都道府県_確率計算'!$C$57</f>
        <v>0.005254337025422529</v>
      </c>
      <c r="E51" s="3">
        <f>SUM($D$9:D51)</f>
        <v>0.981320064655012</v>
      </c>
      <c r="F51" t="str">
        <f>"["&amp;CHAR(34)&amp;B51&amp;CHAR(34)&amp;", "&amp;TEXT(D51,"0.000000000000")&amp;", "&amp;TEXT(E51,"0.000000000000")&amp;"],"</f>
        <v>["徳島県", 0.005254337025, 0.981320064655],</v>
      </c>
      <c r="G51">
        <v>44</v>
      </c>
      <c r="H51" t="inlineStr">
        <is>
          <t xml:space="preserve">公式原表照合済み</t>
        </is>
      </c>
    </row>
    <row r="52">
      <c r="A52">
        <v>44</v>
      </c>
      <c r="B52" t="str">
        <f>'都道府県_確率計算'!B40</f>
        <v>島根県</v>
      </c>
      <c r="C52">
        <f>'都道府県_確率計算'!C40</f>
        <v>3339</v>
      </c>
      <c r="D52" s="3">
        <f>C52/'都道府県_確率計算'!$C$57</f>
        <v>0.0049742646237271974</v>
      </c>
      <c r="E52" s="3">
        <f>SUM($D$9:D52)</f>
        <v>0.9862943292787392</v>
      </c>
      <c r="F52" t="str">
        <f>"["&amp;CHAR(34)&amp;B52&amp;CHAR(34)&amp;", "&amp;TEXT(D52,"0.000000000000")&amp;", "&amp;TEXT(E52,"0.000000000000")&amp;"],"</f>
        <v>["島根県", 0.004974264624, 0.986294329279],</v>
      </c>
      <c r="G52">
        <v>40</v>
      </c>
      <c r="H52" t="inlineStr">
        <is>
          <t xml:space="preserve">公式原表照合済み</t>
        </is>
      </c>
    </row>
    <row r="53">
      <c r="A53">
        <v>45</v>
      </c>
      <c r="B53" t="str">
        <f>'都道府県_確率計算'!B13</f>
        <v>秋田県</v>
      </c>
      <c r="C53">
        <f>'都道府県_確率計算'!C13</f>
        <v>3148</v>
      </c>
      <c r="D53" s="3">
        <f>C53/'都道府県_確率計算'!$C$57</f>
        <v>0.004689722981579281</v>
      </c>
      <c r="E53" s="3">
        <f>SUM($D$9:D53)</f>
        <v>0.9909840522603185</v>
      </c>
      <c r="F53" t="str">
        <f>"["&amp;CHAR(34)&amp;B53&amp;CHAR(34)&amp;", "&amp;TEXT(D53,"0.000000000000")&amp;", "&amp;TEXT(E53,"0.000000000000")&amp;"],"</f>
        <v>["秋田県", 0.004689722982, 0.990984052260],</v>
      </c>
      <c r="G53">
        <v>13</v>
      </c>
      <c r="H53" t="inlineStr">
        <is>
          <t xml:space="preserve">公式原表照合済み</t>
        </is>
      </c>
    </row>
    <row r="54">
      <c r="A54">
        <v>46</v>
      </c>
      <c r="B54" t="str">
        <f>'都道府県_確率計算'!B47</f>
        <v>高知県</v>
      </c>
      <c r="C54">
        <f>'都道府県_確率計算'!C47</f>
        <v>3079</v>
      </c>
      <c r="D54" s="3">
        <f>C54/'都道府県_確率計算'!$C$57</f>
        <v>0.004586930451169824</v>
      </c>
      <c r="E54" s="3">
        <f>SUM($D$9:D54)</f>
        <v>0.9955709827114884</v>
      </c>
      <c r="F54" t="str">
        <f>"["&amp;CHAR(34)&amp;B54&amp;CHAR(34)&amp;", "&amp;TEXT(D54,"0.000000000000")&amp;", "&amp;TEXT(E54,"0.000000000000")&amp;"],"</f>
        <v>["高知県", 0.004586930451, 0.995570982711],</v>
      </c>
      <c r="G54">
        <v>47</v>
      </c>
      <c r="H54" t="inlineStr">
        <is>
          <t xml:space="preserve">公式原表照合済み</t>
        </is>
      </c>
    </row>
    <row r="55">
      <c r="A55">
        <v>47</v>
      </c>
      <c r="B55" t="str">
        <f>'都道府県_確率計算'!B39</f>
        <v>鳥取県</v>
      </c>
      <c r="C55">
        <f>'都道府県_確率計算'!C39</f>
        <v>2973</v>
      </c>
      <c r="D55" s="3">
        <f>C55/'都道府県_確率計算'!$C$57</f>
        <v>0.004429017288511817</v>
      </c>
      <c r="E55" s="3">
        <f>SUM($D$9:D55)</f>
        <v>1</v>
      </c>
      <c r="F55" t="str">
        <f>"["&amp;CHAR(34)&amp;B55&amp;CHAR(34)&amp;", "&amp;TEXT(D55,"0.000000000000")&amp;", "&amp;TEXT(E55,"0.000000000000")&amp;"],"</f>
        <v>["鳥取県", 0.004429017289, 1.000000000000],</v>
      </c>
      <c r="G55">
        <v>39</v>
      </c>
      <c r="H55" t="inlineStr">
        <is>
          <t xml:space="preserve">公式原表照合済み</t>
        </is>
      </c>
    </row>
    <row r="57">
      <c r="B57" s="2" t="inlineStr">
        <is>
          <t xml:space="preserve">国内47都道府県 合計</t>
        </is>
      </c>
      <c r="C57">
        <f>SUM(C9:C55)</f>
        <v>671255</v>
      </c>
      <c r="D57" s="3">
        <f>SUM(D9:D55)</f>
        <v>1</v>
      </c>
      <c r="E57" s="3">
        <f>E55</f>
        <v>1</v>
      </c>
    </row>
    <row r="59">
      <c r="A59" s="4" t="inlineStr">
        <is>
          <t xml:space="preserve">F列の値をJavaScriptへ転記。ゲーム内では出生数合計や累積確率を再計算しない。</t>
        </is>
      </c>
    </row>
    <row r="60">
      <c r="A60" s="4" t="inlineStr">
        <is>
          <t xml:space="preserve">元データの出生数を変更した場合、順位の並べ替えを再実行してから転記する。</t>
        </is>
      </c>
    </row>
  </sheetData>
</worksheet>
</file>